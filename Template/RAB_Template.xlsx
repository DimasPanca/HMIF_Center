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3"/>
  <workbookPr/>
  <mc:AlternateContent xmlns:mc="http://schemas.openxmlformats.org/markup-compatibility/2006">
    <mc:Choice Requires="x15">
      <x15ac:absPath xmlns:x15ac="http://schemas.microsoft.com/office/spreadsheetml/2010/11/ac" url="D:\Software\HMIF_Center\Template\"/>
    </mc:Choice>
  </mc:AlternateContent>
  <xr:revisionPtr revIDLastSave="0" documentId="13_ncr:1_{F702BD47-3170-4B98-B1A9-2070E8C83C0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B" sheetId="1" r:id="rId1"/>
    <sheet name="PEMASUKAN" sheetId="2" r:id="rId2"/>
    <sheet name="PENGELUARAN" sheetId="3" r:id="rId3"/>
    <sheet name="RAB AKTU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" i="4" l="1"/>
  <c r="F75" i="4"/>
  <c r="F68" i="4"/>
  <c r="F67" i="4"/>
  <c r="F66" i="4"/>
  <c r="F65" i="4"/>
  <c r="F62" i="4"/>
  <c r="F61" i="4"/>
  <c r="F60" i="4"/>
  <c r="F58" i="4"/>
  <c r="F56" i="4"/>
  <c r="F55" i="4"/>
  <c r="F54" i="4"/>
  <c r="F53" i="4"/>
  <c r="F52" i="4"/>
  <c r="F51" i="4"/>
  <c r="F50" i="4"/>
  <c r="F49" i="4"/>
  <c r="F48" i="4"/>
  <c r="F42" i="4"/>
  <c r="F41" i="4"/>
  <c r="F45" i="4" s="1"/>
  <c r="F38" i="4"/>
  <c r="F33" i="4"/>
  <c r="F21" i="4"/>
  <c r="F20" i="4"/>
  <c r="F13" i="4"/>
  <c r="J12" i="4"/>
  <c r="F12" i="4"/>
  <c r="F8" i="4"/>
  <c r="F6" i="4"/>
  <c r="F5" i="4"/>
  <c r="F17" i="4" s="1"/>
  <c r="H6" i="3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F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D6" i="2"/>
  <c r="F80" i="1"/>
  <c r="F75" i="1"/>
  <c r="F68" i="1"/>
  <c r="F67" i="1"/>
  <c r="F66" i="1"/>
  <c r="F65" i="1"/>
  <c r="F62" i="1"/>
  <c r="F61" i="1"/>
  <c r="F60" i="1"/>
  <c r="F58" i="1"/>
  <c r="F56" i="1"/>
  <c r="F55" i="1"/>
  <c r="F54" i="1"/>
  <c r="F53" i="1"/>
  <c r="F52" i="1"/>
  <c r="F51" i="1"/>
  <c r="F50" i="1"/>
  <c r="F49" i="1"/>
  <c r="F69" i="1" s="1"/>
  <c r="J5" i="1" s="1"/>
  <c r="J13" i="1" s="1"/>
  <c r="F48" i="1"/>
  <c r="F45" i="1"/>
  <c r="F42" i="1"/>
  <c r="F41" i="1"/>
  <c r="F38" i="1"/>
  <c r="F33" i="1"/>
  <c r="F21" i="1"/>
  <c r="F20" i="1"/>
  <c r="F27" i="1" s="1"/>
  <c r="F13" i="1"/>
  <c r="F12" i="1"/>
  <c r="F8" i="1"/>
  <c r="F17" i="1" s="1"/>
  <c r="F6" i="1"/>
  <c r="F5" i="1"/>
  <c r="F27" i="4" l="1"/>
  <c r="F69" i="4"/>
</calcChain>
</file>

<file path=xl/sharedStrings.xml><?xml version="1.0" encoding="utf-8"?>
<sst xmlns="http://schemas.openxmlformats.org/spreadsheetml/2006/main" count="515" uniqueCount="301">
  <si>
    <t>DIVISI KOMSUMSI</t>
  </si>
  <si>
    <t>NO</t>
  </si>
  <si>
    <t>Tgl</t>
  </si>
  <si>
    <t>URAIAN</t>
  </si>
  <si>
    <t>DIVISI</t>
  </si>
  <si>
    <t>PENGELUARAN</t>
  </si>
  <si>
    <t>SALDO</t>
  </si>
  <si>
    <t>NO.</t>
  </si>
  <si>
    <t>BESARAN BIAYA</t>
  </si>
  <si>
    <t>TOTAL PEMBAYARAN KT 1</t>
  </si>
  <si>
    <t>Jenis Barang</t>
  </si>
  <si>
    <t>Jumlah</t>
  </si>
  <si>
    <t>Harga satuan</t>
  </si>
  <si>
    <t xml:space="preserve">Total </t>
  </si>
  <si>
    <t>ACARA</t>
  </si>
  <si>
    <t>PAGUDANA DARI HIMPUNAN</t>
  </si>
  <si>
    <t>TOTAL</t>
  </si>
  <si>
    <t>KOMSUMSI PANITIA</t>
  </si>
  <si>
    <t>P3K</t>
  </si>
  <si>
    <t>Galon</t>
  </si>
  <si>
    <t>PEMASUKAN</t>
  </si>
  <si>
    <t>DP TEMPAT</t>
  </si>
  <si>
    <t>HUMAS</t>
  </si>
  <si>
    <t>PELARATAN</t>
  </si>
  <si>
    <t>Makan 3 kali</t>
  </si>
  <si>
    <t>Keterangan</t>
  </si>
  <si>
    <t>Saldo</t>
  </si>
  <si>
    <t>BANNER</t>
  </si>
  <si>
    <t>PDD</t>
  </si>
  <si>
    <t xml:space="preserve">Total Pembayaran SYNCHRONIZE </t>
  </si>
  <si>
    <t>KOMSUMSI PESERTA</t>
  </si>
  <si>
    <t>NOTA &amp; KWINTANSI</t>
  </si>
  <si>
    <t>BENDAHARA</t>
  </si>
  <si>
    <t>KOMSUMSI</t>
  </si>
  <si>
    <t xml:space="preserve"> Himpunan</t>
  </si>
  <si>
    <t>CETAK SERTIF,BINGKAI, &amp; PAPERBAG</t>
  </si>
  <si>
    <t>KOMSUMSI PEMATERI</t>
  </si>
  <si>
    <t>DP BAJU &amp; BELI MATERAI</t>
  </si>
  <si>
    <t>SEKRETARIS</t>
  </si>
  <si>
    <t xml:space="preserve">SNACK BOX 7 &amp; GALON </t>
  </si>
  <si>
    <t>DP KOMSUMSI DAY1&amp;2 DAN MATERAI</t>
  </si>
  <si>
    <t>Dana Tak Terduga</t>
  </si>
  <si>
    <t>Snack</t>
  </si>
  <si>
    <t>BELI STIKER</t>
  </si>
  <si>
    <t>PLUNASAN BAJU</t>
  </si>
  <si>
    <t>SNACK BOX, GALON</t>
  </si>
  <si>
    <t>PLUNASAN KOMSUMSI</t>
  </si>
  <si>
    <t>RINCIAN PEMASUKAN DAN DATA PERSERTA KT 1 A.25</t>
  </si>
  <si>
    <t xml:space="preserve">TOTAL </t>
  </si>
  <si>
    <t>PLUNASAN TEMPAT</t>
  </si>
  <si>
    <t>DP ANGKOT</t>
  </si>
  <si>
    <t>No</t>
  </si>
  <si>
    <t>Aqua Botol</t>
  </si>
  <si>
    <t>Nama Lengkap</t>
  </si>
  <si>
    <t>BALON PENSIL</t>
  </si>
  <si>
    <t xml:space="preserve">ACARA </t>
  </si>
  <si>
    <t>BAYAR</t>
  </si>
  <si>
    <t>Tgl BAYAR</t>
  </si>
  <si>
    <t>JUMLAH</t>
  </si>
  <si>
    <t xml:space="preserve">TALI RAPIA BESAR </t>
  </si>
  <si>
    <t>PERLARATAN</t>
  </si>
  <si>
    <t>BELI OBAT TAMBAHAN</t>
  </si>
  <si>
    <t>KEBUTUHAN DIVISI</t>
  </si>
  <si>
    <t>BATRE ABC</t>
  </si>
  <si>
    <t>Materai</t>
  </si>
  <si>
    <t>PERALATAN</t>
  </si>
  <si>
    <t xml:space="preserve">TRIANA SURYA SUNDARI </t>
  </si>
  <si>
    <t>BELI OBAT OBATAN</t>
  </si>
  <si>
    <t>Print MoU</t>
  </si>
  <si>
    <t>KEBUTUHAN P3K</t>
  </si>
  <si>
    <t>10 lembar</t>
  </si>
  <si>
    <t>TOLAK ANGIN</t>
  </si>
  <si>
    <t>GELAS PLASTIK</t>
  </si>
  <si>
    <t>MUHAMAD NABIL</t>
  </si>
  <si>
    <t>PITA&amp;PENITI</t>
  </si>
  <si>
    <t>BATRE</t>
  </si>
  <si>
    <t>TALI RAPIA</t>
  </si>
  <si>
    <t>MUHAMMAD FATTAHURRIZKY</t>
  </si>
  <si>
    <t>DIVISI PDD</t>
  </si>
  <si>
    <t>PLUNASAN ANGKOT</t>
  </si>
  <si>
    <t xml:space="preserve">PARKIR </t>
  </si>
  <si>
    <t>SELA ENJELIKA LUMBANGAOL</t>
  </si>
  <si>
    <t>Baju</t>
  </si>
  <si>
    <t>REIMBRUSE BENSIN</t>
  </si>
  <si>
    <t xml:space="preserve">AGNI TRI TANIA SIBORO </t>
  </si>
  <si>
    <t>BELI OBAT</t>
  </si>
  <si>
    <t>Stiker</t>
  </si>
  <si>
    <t>FURQON AZIZ EFENDI</t>
  </si>
  <si>
    <t>PRINT</t>
  </si>
  <si>
    <t>Banner</t>
  </si>
  <si>
    <t>PRINT TEKS MC</t>
  </si>
  <si>
    <t xml:space="preserve">DZULFIKRI ADI NUGROHO </t>
  </si>
  <si>
    <t>Cetak Sertifikat</t>
  </si>
  <si>
    <t>GALON,PRINT DATA PESERTA, MOU</t>
  </si>
  <si>
    <t xml:space="preserve">FAUZAN AL ANSHORI </t>
  </si>
  <si>
    <t>Bingkai</t>
  </si>
  <si>
    <t>Paper Bag</t>
  </si>
  <si>
    <t>ZAHRAN HABIBI AL FAHRI</t>
  </si>
  <si>
    <t>TAMABAHAN KOMSUM</t>
  </si>
  <si>
    <t>FLARE</t>
  </si>
  <si>
    <t>BINTANG ABIMANYU</t>
  </si>
  <si>
    <t>EZRA FARANDI ZEIN</t>
  </si>
  <si>
    <t>SISA UANG</t>
  </si>
  <si>
    <t xml:space="preserve">MUHAMAD JUMHUR </t>
  </si>
  <si>
    <t>DIVISI PERLARATAN</t>
  </si>
  <si>
    <t xml:space="preserve">SANDRINA RIZQI KEISHA AZZAHRA </t>
  </si>
  <si>
    <t>Tenda pleton</t>
  </si>
  <si>
    <t>NAURA AMELIA ANNABILA</t>
  </si>
  <si>
    <t>Tali Rapia</t>
  </si>
  <si>
    <t>Minyak Tanah</t>
  </si>
  <si>
    <t>T0TAL</t>
  </si>
  <si>
    <t>THARIQ RIZQI RAFAEL ALGHIFARI</t>
  </si>
  <si>
    <t>ZILVA NURINTAN PERMANA</t>
  </si>
  <si>
    <t xml:space="preserve">GALANG ADI SETIAWAN </t>
  </si>
  <si>
    <t>DIVISI HUMAS</t>
  </si>
  <si>
    <t>IHSAN FADILLAH EFENDI</t>
  </si>
  <si>
    <t>Tempat (Baduy Outbound)</t>
  </si>
  <si>
    <t xml:space="preserve">IKHWAN AS-SAFA AZ-ZANJANI </t>
  </si>
  <si>
    <t>2 Hari 1 Malam</t>
  </si>
  <si>
    <t>Angkot</t>
  </si>
  <si>
    <t>16 Unit</t>
  </si>
  <si>
    <t>AHMAD KAUTSAR</t>
  </si>
  <si>
    <t>ALFIN MAULANA ABIYUDHA</t>
  </si>
  <si>
    <t>DIVISI ACARA</t>
  </si>
  <si>
    <t>PUTRI KAIRA LANGI</t>
  </si>
  <si>
    <t xml:space="preserve">LANANG HABITUAL BAQA </t>
  </si>
  <si>
    <t>Print kertas absensi peserta (Pra1,Pra2,Pra3,Hari-H) 1x absen 6 lembar (dengan estimasi 150 orang)</t>
  </si>
  <si>
    <t>24 Lembar</t>
  </si>
  <si>
    <t>FAUZI ARROFI</t>
  </si>
  <si>
    <t>MUHAMMAD FADHAL MASYKURI</t>
  </si>
  <si>
    <t xml:space="preserve">Flare </t>
  </si>
  <si>
    <t>AHMAD ZULKIFLIMANSYAH HAQQI</t>
  </si>
  <si>
    <t>2 Pcs</t>
  </si>
  <si>
    <t>FATHIH FITRAH RAMADHAN</t>
  </si>
  <si>
    <t xml:space="preserve">HIWARI AUZAN SUPRIYATNA </t>
  </si>
  <si>
    <t>pensil (untuk kebutuhan lomba)</t>
  </si>
  <si>
    <t>2 pack (12 pcs/pack)</t>
  </si>
  <si>
    <t xml:space="preserve">MUHAMAD RIPKY ZIDANI </t>
  </si>
  <si>
    <t>Balon 100pcs  (untuk kebutuhan games)</t>
  </si>
  <si>
    <t>1 pack (isi 100)</t>
  </si>
  <si>
    <t>ALLYSA BELINDA LY</t>
  </si>
  <si>
    <t>TERA GUSTALOVA</t>
  </si>
  <si>
    <t xml:space="preserve">TRIYA HIKMAH NUR HIDAYAH </t>
  </si>
  <si>
    <t>PUJI RAMADANI</t>
  </si>
  <si>
    <t>DIVISI P3K</t>
  </si>
  <si>
    <t>MARTIN NURHIDAYAT</t>
  </si>
  <si>
    <t>MUHAMMAD AWWAB</t>
  </si>
  <si>
    <t xml:space="preserve">SAFIRA EKA PUSPITASARI </t>
  </si>
  <si>
    <t xml:space="preserve">WIDYA SUCI RAHMADHANI </t>
  </si>
  <si>
    <t>Nama Barang</t>
  </si>
  <si>
    <t>Banyaknya</t>
  </si>
  <si>
    <t>Harga Satuan</t>
  </si>
  <si>
    <t xml:space="preserve">AYU RAHMA DIAH HERDI </t>
  </si>
  <si>
    <t>Promag</t>
  </si>
  <si>
    <t>NAYA DZAKIRA SUKARSO</t>
  </si>
  <si>
    <t>ASEP BADRUSALAM</t>
  </si>
  <si>
    <t xml:space="preserve">EVI KURNIA DEWI </t>
  </si>
  <si>
    <t xml:space="preserve">FARICHA ZANJABILA </t>
  </si>
  <si>
    <t>Tissue Basah</t>
  </si>
  <si>
    <t>MUTHIA HANAN SALSABILA</t>
  </si>
  <si>
    <t>RIVALDO HASOGA TUA SIAHAAN</t>
  </si>
  <si>
    <t>Tolak Angin</t>
  </si>
  <si>
    <t>DERA SHAFWAH SURAHMAT</t>
  </si>
  <si>
    <t xml:space="preserve">FATHIR ALIFFA ALMERHAN </t>
  </si>
  <si>
    <t>Salonpas koyo</t>
  </si>
  <si>
    <t>NURLAELA AZZURA</t>
  </si>
  <si>
    <t>Teh</t>
  </si>
  <si>
    <t>ADIT NURDIANSYAH</t>
  </si>
  <si>
    <t xml:space="preserve">Peniti </t>
  </si>
  <si>
    <t>SYAHMIRZAQI</t>
  </si>
  <si>
    <t>Pita Merah</t>
  </si>
  <si>
    <t>AGNIA FILZA IZZATI</t>
  </si>
  <si>
    <t>Pita Kuning</t>
  </si>
  <si>
    <t>MOHAMMAD FACHRI AMRULLAH</t>
  </si>
  <si>
    <t>Domperidone</t>
  </si>
  <si>
    <t>FATHINAH FARHATUL SHOLIHAH</t>
  </si>
  <si>
    <t>Gula</t>
  </si>
  <si>
    <t>500 GR</t>
  </si>
  <si>
    <t>Gelas Plastik</t>
  </si>
  <si>
    <t>LEANDRA VITA SATRIA</t>
  </si>
  <si>
    <t xml:space="preserve">BILQIS AYUDHYA LESTARI </t>
  </si>
  <si>
    <t>SITI NURSYIFA</t>
  </si>
  <si>
    <t>Tissue Kering</t>
  </si>
  <si>
    <t>AHMAD DANI WAHDANI</t>
  </si>
  <si>
    <t>Procold</t>
  </si>
  <si>
    <t>Peminjaman Barang KSR</t>
  </si>
  <si>
    <t>-</t>
  </si>
  <si>
    <t xml:space="preserve">FAIZ AZMI NURDIN SOLEH </t>
  </si>
  <si>
    <t>FreshCare</t>
  </si>
  <si>
    <t>DEWINA AISYAH</t>
  </si>
  <si>
    <t xml:space="preserve">SATRIA NUGRAHA </t>
  </si>
  <si>
    <t>Bodrex Extra</t>
  </si>
  <si>
    <t>DextralForte Tablet</t>
  </si>
  <si>
    <t>RADITYA AHMAD PRATAMA</t>
  </si>
  <si>
    <t>Salonpas Koyo hot</t>
  </si>
  <si>
    <t>RIFKY KHOIRUL IMDAD</t>
  </si>
  <si>
    <t>Soffel</t>
  </si>
  <si>
    <t>60 GR</t>
  </si>
  <si>
    <t>IBNU ZAKI</t>
  </si>
  <si>
    <t>QAIRAN ENZO BADYHAFIZH</t>
  </si>
  <si>
    <t>Masker Medis</t>
  </si>
  <si>
    <t>ANDIKA IZYAN KUSUMA</t>
  </si>
  <si>
    <t>dipsomal inhaler</t>
  </si>
  <si>
    <t>ADINDA SHOFY ZAKIYAH</t>
  </si>
  <si>
    <t xml:space="preserve">DEVYANTI NURAINI </t>
  </si>
  <si>
    <t>MALFALUNA RAHMAH</t>
  </si>
  <si>
    <t>MUHAMMAD NURUL FAJRI</t>
  </si>
  <si>
    <t>AHMAD SUJAI</t>
  </si>
  <si>
    <t>ABDUR ROHMAN RIFAI</t>
  </si>
  <si>
    <t>Print Proposal</t>
  </si>
  <si>
    <t>Absen Panitia Peserta</t>
  </si>
  <si>
    <t>AHYAN SABIQ GHAISAN</t>
  </si>
  <si>
    <t>Print Surat</t>
  </si>
  <si>
    <t>25 Lembar</t>
  </si>
  <si>
    <t>DAFFA ADILLAH PUTRA</t>
  </si>
  <si>
    <t>NAZRIEL ILHAM DZAKY</t>
  </si>
  <si>
    <t>YUDHISTIRA ARI WICAKSONO</t>
  </si>
  <si>
    <t>FAUZI NUR IBRAHIM</t>
  </si>
  <si>
    <t>AKBAR ARIDANI SETIAWAN</t>
  </si>
  <si>
    <t>ZIDAN MUTAQIN</t>
  </si>
  <si>
    <t>Kwintansi</t>
  </si>
  <si>
    <t>FAIRUS RASIDIN</t>
  </si>
  <si>
    <t>Nota</t>
  </si>
  <si>
    <t>FADHLAN ILHAMI</t>
  </si>
  <si>
    <t>MUHAMAD PRAJA PRATAMA</t>
  </si>
  <si>
    <t>FIRDY RIDHO FILLAH</t>
  </si>
  <si>
    <t>KAYLA YULIANE HALIM</t>
  </si>
  <si>
    <t>ERLANGGA ADIFAH FIRMANSYAH</t>
  </si>
  <si>
    <t>NURZAZILLAH</t>
  </si>
  <si>
    <t xml:space="preserve">MUHAMMAD FAJAR FAUZAN </t>
  </si>
  <si>
    <t xml:space="preserve">NATASYA NOVITA PRIHATINI </t>
  </si>
  <si>
    <t>MOCHAMAD FAREL ALFAREZI</t>
  </si>
  <si>
    <t>SANDI RIANDI</t>
  </si>
  <si>
    <t>FARSYA SYAHNA AZALIA</t>
  </si>
  <si>
    <t>FINDY APRILIA</t>
  </si>
  <si>
    <t>HAILA ALHANI FITRIS</t>
  </si>
  <si>
    <t>AISYAH GHINA SYAHIRA</t>
  </si>
  <si>
    <t>DINA WULANDARI</t>
  </si>
  <si>
    <t>NAILUFAR IRSALINA AL-MAHIRA</t>
  </si>
  <si>
    <t>MUHAMMAD RADJA ILYASA</t>
  </si>
  <si>
    <t>MUHAMAD DERIL</t>
  </si>
  <si>
    <t xml:space="preserve">MUHAMMAD RAIHAN FIRDAUS </t>
  </si>
  <si>
    <t xml:space="preserve">DZAKY AHMAD ALFANDI </t>
  </si>
  <si>
    <t>M.NUR RAFLIN TIASIP</t>
  </si>
  <si>
    <t xml:space="preserve">ADAM BASSAM AZIZI </t>
  </si>
  <si>
    <t>JOHADI PRATAMA</t>
  </si>
  <si>
    <t>KEYLA AURA ZAHRA</t>
  </si>
  <si>
    <t>RIFQI ZUARDIN</t>
  </si>
  <si>
    <t>AYOKI ADYA JAGAD PUTRI</t>
  </si>
  <si>
    <t>FAEYZA ARDELLEIN YARADHITYA</t>
  </si>
  <si>
    <t>MUHAMMAD FITHRA RIZQY</t>
  </si>
  <si>
    <t xml:space="preserve">NAYLA MESA AYU </t>
  </si>
  <si>
    <t>AKROM FADHIL MUSTOFA</t>
  </si>
  <si>
    <t>ROBBI MUNTAHA AMALI</t>
  </si>
  <si>
    <t>DHEVANZA YUGIES DANIELLA</t>
  </si>
  <si>
    <t>BARLIANO GIGARI SETIAWAN</t>
  </si>
  <si>
    <t>WILDAN HELMI FAHREZI</t>
  </si>
  <si>
    <t>MUHAMAD ADITIYA</t>
  </si>
  <si>
    <t>FIKRI ARKANURIZKI</t>
  </si>
  <si>
    <t>DAFFA' MUHAMMAD HAAFIDH</t>
  </si>
  <si>
    <t>AQILAH NUR AZIZAH</t>
  </si>
  <si>
    <t>MUHAMMAD FARIS</t>
  </si>
  <si>
    <t xml:space="preserve">PRADIPTA HUMAM NAFI'UZZUMAR AL-ASKO </t>
  </si>
  <si>
    <t>GILANG ARI KOESUMO</t>
  </si>
  <si>
    <t>NIFAN ARYO RAMADHAN</t>
  </si>
  <si>
    <t xml:space="preserve">ZAYYAN FADHLUR RAHMAN </t>
  </si>
  <si>
    <t>MUHAMMAD RAFLI ZIDAIE RAHMANI</t>
  </si>
  <si>
    <t xml:space="preserve">AZRIL ALKLAS </t>
  </si>
  <si>
    <t>RIFQY AMANULLAH HERMAWAN</t>
  </si>
  <si>
    <t>AHMAD ALFU JIHARUDIN ALWI</t>
  </si>
  <si>
    <t xml:space="preserve">RIJAL ABDURRAHMAN </t>
  </si>
  <si>
    <t>MUHAMMAD FAHRI</t>
  </si>
  <si>
    <t>FACHIRA NIRMALA PUTRI MUTAQIN</t>
  </si>
  <si>
    <t>RADITYO BUDI WASKITO</t>
  </si>
  <si>
    <t>EEP FATHUROHMAN</t>
  </si>
  <si>
    <t>CHAERUNISA FEBRYANTI</t>
  </si>
  <si>
    <t>MAHESA PRATAMA</t>
  </si>
  <si>
    <t>M. DAVANSA PANDU RAYA</t>
  </si>
  <si>
    <t>AURA JANNATI AFAFA</t>
  </si>
  <si>
    <t>SITI NURROHMAH</t>
  </si>
  <si>
    <t>MOCHAMAD FATHURRAHMAN</t>
  </si>
  <si>
    <t>SHINTA MUKTI SAHARA</t>
  </si>
  <si>
    <t>KHELSEA MOURINHO SIHOTANG</t>
  </si>
  <si>
    <t>AULANA IBRAHIM</t>
  </si>
  <si>
    <t>MUHAMMAD RIFQI</t>
  </si>
  <si>
    <t>MUHAMMAD RIZAL CHAERUL SYAHPUTRA</t>
  </si>
  <si>
    <t>MUHAMAD HAFIDZ PRATAMA</t>
  </si>
  <si>
    <t>DIAN RAHMAWATI</t>
  </si>
  <si>
    <t>TUBAGUS SAVANA</t>
  </si>
  <si>
    <t>JACKY YOHANES</t>
  </si>
  <si>
    <t>MUHAMMAD FARIS AS-SALAMAT</t>
  </si>
  <si>
    <t>MUHAMMAD FARRAS HILMI</t>
  </si>
  <si>
    <t>KHOIRUL MALIK</t>
  </si>
  <si>
    <t>RADITYA RIDWAN</t>
  </si>
  <si>
    <t>FIRDAUS RAKHA RAMADHAN</t>
  </si>
  <si>
    <t>MUHAMMAD RAFFI FEBRIANSYAH</t>
  </si>
  <si>
    <t>MUHAMAD FAHRI INDRA SAPUTRA</t>
  </si>
  <si>
    <t>RAKHA AHMAD SYAHIDAN</t>
  </si>
  <si>
    <t>MUHAMAD NAUFAL AKMAL</t>
  </si>
  <si>
    <t>MUHAMAD NURDIAN SAPUTRA</t>
  </si>
  <si>
    <t xml:space="preserve"> M ABDUL HAKIM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</si>
</sst>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\ mmmm\ yyyy"/>
    <numFmt numFmtId="165" formatCode="[$Rp-421]#,##0"/>
    <numFmt numFmtId="166" formatCode="&quot;Rp&quot;#,##0"/>
    <numFmt numFmtId="167" formatCode="[$Rp]#,##0"/>
  </numFmts>
  <fonts count="1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</font>
    <font>
      <sz val="10"/>
      <color theme="1"/>
      <name val="Roboto"/>
    </font>
    <font>
      <sz val="10"/>
      <color rgb="FF000000"/>
      <name val="Arial"/>
    </font>
    <font>
      <sz val="11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C0E6F5"/>
        <bgColor rgb="FFC0E6F5"/>
      </patternFill>
    </fill>
    <fill>
      <patternFill patternType="solid">
        <fgColor rgb="FF83CCEB"/>
        <bgColor rgb="FF83CCEB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165" fontId="2" fillId="3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67" fontId="6" fillId="0" borderId="6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/>
    </xf>
    <xf numFmtId="167" fontId="8" fillId="0" borderId="0" xfId="0" applyNumberFormat="1" applyFont="1"/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0" fontId="11" fillId="3" borderId="1" xfId="0" applyFont="1" applyFill="1" applyBorder="1"/>
    <xf numFmtId="0" fontId="8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8" fillId="0" borderId="0" xfId="0" applyFont="1"/>
    <xf numFmtId="0" fontId="7" fillId="0" borderId="6" xfId="0" applyFont="1" applyBorder="1" applyAlignment="1">
      <alignment horizontal="center"/>
    </xf>
    <xf numFmtId="164" fontId="6" fillId="0" borderId="6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166" fontId="8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/>
    </xf>
    <xf numFmtId="167" fontId="12" fillId="3" borderId="1" xfId="0" applyNumberFormat="1" applyFont="1" applyFill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166" fontId="2" fillId="7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3" borderId="1" xfId="0" applyFont="1" applyFill="1" applyBorder="1" applyAlignment="1">
      <alignment horizontal="left"/>
    </xf>
    <xf numFmtId="0" fontId="8" fillId="0" borderId="1" xfId="0" applyFont="1" applyBorder="1"/>
    <xf numFmtId="165" fontId="9" fillId="0" borderId="1" xfId="0" applyNumberFormat="1" applyFont="1" applyBorder="1" applyAlignment="1">
      <alignment horizontal="center"/>
    </xf>
    <xf numFmtId="167" fontId="13" fillId="0" borderId="1" xfId="0" applyNumberFormat="1" applyFont="1" applyBorder="1"/>
    <xf numFmtId="0" fontId="8" fillId="3" borderId="1" xfId="0" applyFont="1" applyFill="1" applyBorder="1"/>
    <xf numFmtId="0" fontId="8" fillId="3" borderId="0" xfId="0" applyFont="1" applyFill="1"/>
    <xf numFmtId="165" fontId="8" fillId="0" borderId="1" xfId="0" applyNumberFormat="1" applyFont="1" applyBorder="1"/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0" borderId="0" xfId="0" applyFont="1"/>
    <xf numFmtId="0" fontId="0" fillId="0" borderId="0" xfId="0"/>
    <xf numFmtId="0" fontId="10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EMASUKAN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2:C167" headerRowCount="0">
  <tableColumns count="1">
    <tableColumn id="1" xr3:uid="{00000000-0010-0000-0000-000001000000}" name="Column1"/>
  </tableColumns>
  <tableStyleInfo name="PEMASUK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2:K80"/>
  <sheetViews>
    <sheetView workbookViewId="0">
      <selection activeCell="I17" sqref="I17"/>
    </sheetView>
  </sheetViews>
  <sheetFormatPr defaultColWidth="12.6640625" defaultRowHeight="15.75" customHeight="1" x14ac:dyDescent="0.25"/>
  <cols>
    <col min="1" max="1" width="5.77734375" customWidth="1"/>
    <col min="2" max="2" width="8.77734375" customWidth="1"/>
    <col min="3" max="3" width="30.44140625" customWidth="1"/>
    <col min="4" max="4" width="26.77734375" customWidth="1"/>
    <col min="5" max="5" width="17.109375" customWidth="1"/>
    <col min="6" max="6" width="16.33203125" customWidth="1"/>
    <col min="9" max="9" width="21.109375" customWidth="1"/>
    <col min="10" max="10" width="25.109375" customWidth="1"/>
  </cols>
  <sheetData>
    <row r="2" spans="2:11" x14ac:dyDescent="0.25">
      <c r="B2" s="64" t="s">
        <v>0</v>
      </c>
      <c r="C2" s="65"/>
      <c r="D2" s="65"/>
      <c r="E2" s="65"/>
      <c r="F2" s="66"/>
    </row>
    <row r="3" spans="2:11" x14ac:dyDescent="0.25">
      <c r="B3" s="6" t="s">
        <v>1</v>
      </c>
      <c r="C3" s="6" t="s">
        <v>10</v>
      </c>
      <c r="D3" s="6" t="s">
        <v>11</v>
      </c>
      <c r="E3" s="6" t="s">
        <v>12</v>
      </c>
      <c r="F3" s="6" t="s">
        <v>13</v>
      </c>
      <c r="H3" s="3" t="s">
        <v>7</v>
      </c>
      <c r="I3" s="3" t="s">
        <v>4</v>
      </c>
      <c r="J3" s="3" t="s">
        <v>8</v>
      </c>
    </row>
    <row r="4" spans="2:11" x14ac:dyDescent="0.25">
      <c r="B4" s="67" t="s">
        <v>17</v>
      </c>
      <c r="C4" s="65"/>
      <c r="D4" s="65"/>
      <c r="E4" s="65"/>
      <c r="F4" s="66"/>
      <c r="H4" s="4">
        <v>1</v>
      </c>
      <c r="I4" s="4" t="s">
        <v>14</v>
      </c>
      <c r="J4" s="10">
        <v>172000</v>
      </c>
    </row>
    <row r="5" spans="2:11" x14ac:dyDescent="0.25">
      <c r="B5" s="4">
        <v>1</v>
      </c>
      <c r="C5" s="4" t="s">
        <v>19</v>
      </c>
      <c r="D5" s="4">
        <v>10</v>
      </c>
      <c r="E5" s="12">
        <v>5000</v>
      </c>
      <c r="F5" s="12">
        <f>SUM(D5*E5)</f>
        <v>50000</v>
      </c>
      <c r="H5" s="4">
        <v>2</v>
      </c>
      <c r="I5" s="4" t="s">
        <v>18</v>
      </c>
      <c r="J5" s="12">
        <f>F69</f>
        <v>372700</v>
      </c>
    </row>
    <row r="6" spans="2:11" x14ac:dyDescent="0.25">
      <c r="B6" s="4">
        <v>2</v>
      </c>
      <c r="C6" s="4" t="s">
        <v>24</v>
      </c>
      <c r="D6" s="4">
        <v>58</v>
      </c>
      <c r="E6" s="12">
        <v>30000</v>
      </c>
      <c r="F6" s="12">
        <f>E6*D6</f>
        <v>1740000</v>
      </c>
      <c r="H6" s="4">
        <v>3</v>
      </c>
      <c r="I6" s="4" t="s">
        <v>23</v>
      </c>
      <c r="J6" s="12">
        <v>320000</v>
      </c>
    </row>
    <row r="7" spans="2:11" x14ac:dyDescent="0.25">
      <c r="B7" s="67" t="s">
        <v>30</v>
      </c>
      <c r="C7" s="65"/>
      <c r="D7" s="65"/>
      <c r="E7" s="65"/>
      <c r="F7" s="66"/>
      <c r="H7" s="4">
        <v>4</v>
      </c>
      <c r="I7" s="4" t="s">
        <v>22</v>
      </c>
      <c r="J7" s="12">
        <v>8600000</v>
      </c>
    </row>
    <row r="8" spans="2:11" x14ac:dyDescent="0.25">
      <c r="B8" s="4">
        <v>4</v>
      </c>
      <c r="C8" s="4" t="s">
        <v>24</v>
      </c>
      <c r="D8" s="4">
        <v>156</v>
      </c>
      <c r="E8" s="12">
        <v>30000</v>
      </c>
      <c r="F8" s="12">
        <f>E8*D8</f>
        <v>4680000</v>
      </c>
      <c r="H8" s="4">
        <v>5</v>
      </c>
      <c r="I8" s="4" t="s">
        <v>33</v>
      </c>
      <c r="J8" s="12">
        <v>6654000</v>
      </c>
    </row>
    <row r="9" spans="2:11" x14ac:dyDescent="0.25">
      <c r="B9" s="67" t="s">
        <v>36</v>
      </c>
      <c r="C9" s="65"/>
      <c r="D9" s="65"/>
      <c r="E9" s="65"/>
      <c r="F9" s="66"/>
      <c r="H9" s="4">
        <v>6</v>
      </c>
      <c r="I9" s="4" t="s">
        <v>28</v>
      </c>
      <c r="J9" s="12">
        <v>8212000</v>
      </c>
    </row>
    <row r="10" spans="2:11" x14ac:dyDescent="0.25">
      <c r="B10" s="11"/>
      <c r="C10" s="11"/>
      <c r="D10" s="11"/>
      <c r="E10" s="27"/>
      <c r="F10" s="12"/>
      <c r="H10" s="4">
        <v>7</v>
      </c>
      <c r="I10" s="4" t="s">
        <v>38</v>
      </c>
      <c r="J10" s="12">
        <v>100000</v>
      </c>
      <c r="K10" s="28"/>
    </row>
    <row r="11" spans="2:11" x14ac:dyDescent="0.25">
      <c r="B11" s="11"/>
      <c r="C11" s="11"/>
      <c r="D11" s="11"/>
      <c r="E11" s="27"/>
      <c r="F11" s="12"/>
      <c r="H11" s="4">
        <v>8</v>
      </c>
      <c r="I11" s="4" t="s">
        <v>32</v>
      </c>
      <c r="J11" s="12">
        <v>8000</v>
      </c>
      <c r="K11" s="28"/>
    </row>
    <row r="12" spans="2:11" x14ac:dyDescent="0.25">
      <c r="B12" s="11">
        <v>5</v>
      </c>
      <c r="C12" s="11" t="s">
        <v>42</v>
      </c>
      <c r="D12" s="11">
        <v>10</v>
      </c>
      <c r="E12" s="27">
        <v>10000</v>
      </c>
      <c r="F12" s="12">
        <f>SUM(D12*E12)</f>
        <v>100000</v>
      </c>
      <c r="H12" s="4">
        <v>9</v>
      </c>
      <c r="I12" s="4" t="s">
        <v>41</v>
      </c>
      <c r="J12" s="12">
        <v>561300</v>
      </c>
      <c r="K12" s="28"/>
    </row>
    <row r="13" spans="2:11" x14ac:dyDescent="0.25">
      <c r="B13" s="11">
        <v>6</v>
      </c>
      <c r="C13" s="11" t="s">
        <v>52</v>
      </c>
      <c r="D13" s="11">
        <v>10</v>
      </c>
      <c r="E13" s="27">
        <v>4000</v>
      </c>
      <c r="F13" s="12">
        <f>SUM(D13*E13)</f>
        <v>40000</v>
      </c>
      <c r="H13" s="67" t="s">
        <v>48</v>
      </c>
      <c r="I13" s="66"/>
      <c r="J13" s="10">
        <f>SUM(J4:J12)</f>
        <v>25000000</v>
      </c>
      <c r="K13" s="28"/>
    </row>
    <row r="14" spans="2:11" x14ac:dyDescent="0.25">
      <c r="B14" s="67" t="s">
        <v>62</v>
      </c>
      <c r="C14" s="65"/>
      <c r="D14" s="65"/>
      <c r="E14" s="65"/>
      <c r="F14" s="66"/>
    </row>
    <row r="15" spans="2:11" x14ac:dyDescent="0.25">
      <c r="B15" s="11">
        <v>7</v>
      </c>
      <c r="C15" s="11" t="s">
        <v>64</v>
      </c>
      <c r="D15" s="11">
        <v>2</v>
      </c>
      <c r="E15" s="32">
        <v>12000</v>
      </c>
      <c r="F15" s="12">
        <v>24000</v>
      </c>
    </row>
    <row r="16" spans="2:11" x14ac:dyDescent="0.25">
      <c r="B16" s="11">
        <v>8</v>
      </c>
      <c r="C16" s="34" t="s">
        <v>68</v>
      </c>
      <c r="D16" s="34" t="s">
        <v>70</v>
      </c>
      <c r="E16" s="36">
        <v>2000</v>
      </c>
      <c r="F16" s="36">
        <v>20000</v>
      </c>
      <c r="I16" s="39"/>
    </row>
    <row r="17" spans="2:9" x14ac:dyDescent="0.25">
      <c r="B17" s="67" t="s">
        <v>16</v>
      </c>
      <c r="C17" s="65"/>
      <c r="D17" s="65"/>
      <c r="E17" s="65"/>
      <c r="F17" s="12">
        <f>SUM(F4:F16)</f>
        <v>6654000</v>
      </c>
      <c r="I17" s="39"/>
    </row>
    <row r="18" spans="2:9" x14ac:dyDescent="0.25">
      <c r="B18" s="64" t="s">
        <v>78</v>
      </c>
      <c r="C18" s="65"/>
      <c r="D18" s="65"/>
      <c r="E18" s="65"/>
      <c r="F18" s="66"/>
      <c r="I18" s="39"/>
    </row>
    <row r="19" spans="2:9" x14ac:dyDescent="0.25">
      <c r="B19" s="6" t="s">
        <v>1</v>
      </c>
      <c r="C19" s="6" t="s">
        <v>10</v>
      </c>
      <c r="D19" s="6" t="s">
        <v>11</v>
      </c>
      <c r="E19" s="6" t="s">
        <v>12</v>
      </c>
      <c r="F19" s="6" t="s">
        <v>13</v>
      </c>
      <c r="I19" s="39"/>
    </row>
    <row r="20" spans="2:9" x14ac:dyDescent="0.25">
      <c r="B20" s="4">
        <v>1</v>
      </c>
      <c r="C20" s="4" t="s">
        <v>82</v>
      </c>
      <c r="D20" s="4">
        <v>156</v>
      </c>
      <c r="E20" s="12">
        <v>50000</v>
      </c>
      <c r="F20" s="12">
        <f t="shared" ref="F20:F21" si="0">D20*E20</f>
        <v>7800000</v>
      </c>
    </row>
    <row r="21" spans="2:9" x14ac:dyDescent="0.25">
      <c r="B21" s="4">
        <v>2</v>
      </c>
      <c r="C21" s="4" t="s">
        <v>86</v>
      </c>
      <c r="D21" s="4">
        <v>18</v>
      </c>
      <c r="E21" s="12">
        <v>14000</v>
      </c>
      <c r="F21" s="12">
        <f t="shared" si="0"/>
        <v>252000</v>
      </c>
    </row>
    <row r="22" spans="2:9" x14ac:dyDescent="0.25">
      <c r="B22" s="34">
        <v>3</v>
      </c>
      <c r="C22" s="34" t="s">
        <v>89</v>
      </c>
      <c r="D22" s="34">
        <v>1</v>
      </c>
      <c r="E22" s="43">
        <v>100000</v>
      </c>
      <c r="F22" s="43">
        <v>100000</v>
      </c>
    </row>
    <row r="23" spans="2:9" x14ac:dyDescent="0.25">
      <c r="B23" s="34">
        <v>4</v>
      </c>
      <c r="C23" s="34" t="s">
        <v>64</v>
      </c>
      <c r="D23" s="34">
        <v>1</v>
      </c>
      <c r="E23" s="36">
        <v>12000</v>
      </c>
      <c r="F23" s="36">
        <v>12000</v>
      </c>
    </row>
    <row r="24" spans="2:9" x14ac:dyDescent="0.25">
      <c r="B24" s="34">
        <v>5</v>
      </c>
      <c r="C24" s="34" t="s">
        <v>92</v>
      </c>
      <c r="D24" s="34">
        <v>3</v>
      </c>
      <c r="E24" s="36"/>
      <c r="F24" s="36">
        <v>8000</v>
      </c>
    </row>
    <row r="25" spans="2:9" x14ac:dyDescent="0.25">
      <c r="B25" s="34">
        <v>6</v>
      </c>
      <c r="C25" s="34" t="s">
        <v>95</v>
      </c>
      <c r="D25" s="34">
        <v>3</v>
      </c>
      <c r="E25" s="36">
        <v>25000</v>
      </c>
      <c r="F25" s="36">
        <v>25000</v>
      </c>
    </row>
    <row r="26" spans="2:9" x14ac:dyDescent="0.25">
      <c r="B26" s="34">
        <v>7</v>
      </c>
      <c r="C26" s="34" t="s">
        <v>96</v>
      </c>
      <c r="D26" s="34">
        <v>3</v>
      </c>
      <c r="E26" s="36">
        <v>5000</v>
      </c>
      <c r="F26" s="36">
        <v>15000</v>
      </c>
    </row>
    <row r="27" spans="2:9" x14ac:dyDescent="0.25">
      <c r="B27" s="72" t="s">
        <v>16</v>
      </c>
      <c r="C27" s="65"/>
      <c r="D27" s="65"/>
      <c r="E27" s="66"/>
      <c r="F27" s="48">
        <f>F20+F21+F22+F23+F24+F25+F26</f>
        <v>8212000</v>
      </c>
    </row>
    <row r="28" spans="2:9" x14ac:dyDescent="0.25">
      <c r="B28" s="64" t="s">
        <v>104</v>
      </c>
      <c r="C28" s="65"/>
      <c r="D28" s="65"/>
      <c r="E28" s="65"/>
      <c r="F28" s="66"/>
    </row>
    <row r="29" spans="2:9" x14ac:dyDescent="0.25">
      <c r="B29" s="6" t="s">
        <v>1</v>
      </c>
      <c r="C29" s="6" t="s">
        <v>10</v>
      </c>
      <c r="D29" s="6" t="s">
        <v>11</v>
      </c>
      <c r="E29" s="6" t="s">
        <v>12</v>
      </c>
      <c r="F29" s="6" t="s">
        <v>13</v>
      </c>
    </row>
    <row r="30" spans="2:9" x14ac:dyDescent="0.25">
      <c r="B30" s="4">
        <v>1</v>
      </c>
      <c r="C30" s="4" t="s">
        <v>106</v>
      </c>
      <c r="D30" s="4">
        <v>1</v>
      </c>
      <c r="E30" s="12">
        <v>300000</v>
      </c>
      <c r="F30" s="12">
        <v>300000</v>
      </c>
      <c r="G30" s="28"/>
    </row>
    <row r="31" spans="2:9" x14ac:dyDescent="0.25">
      <c r="B31" s="4">
        <v>2</v>
      </c>
      <c r="C31" s="4" t="s">
        <v>108</v>
      </c>
      <c r="D31" s="4">
        <v>2</v>
      </c>
      <c r="E31" s="12">
        <v>10000</v>
      </c>
      <c r="F31" s="12">
        <v>20000</v>
      </c>
    </row>
    <row r="32" spans="2:9" x14ac:dyDescent="0.25">
      <c r="B32" s="34">
        <v>3</v>
      </c>
      <c r="C32" s="34" t="s">
        <v>109</v>
      </c>
      <c r="D32" s="34">
        <v>1</v>
      </c>
      <c r="E32" s="12">
        <v>12000</v>
      </c>
      <c r="F32" s="12">
        <v>12000</v>
      </c>
    </row>
    <row r="33" spans="2:8" x14ac:dyDescent="0.25">
      <c r="B33" s="72" t="s">
        <v>110</v>
      </c>
      <c r="C33" s="65"/>
      <c r="D33" s="65"/>
      <c r="E33" s="66"/>
      <c r="F33" s="48">
        <f>SUM(F30:F32)</f>
        <v>332000</v>
      </c>
      <c r="G33" s="28"/>
    </row>
    <row r="34" spans="2:8" x14ac:dyDescent="0.25">
      <c r="B34" s="64" t="s">
        <v>114</v>
      </c>
      <c r="C34" s="65"/>
      <c r="D34" s="65"/>
      <c r="E34" s="65"/>
      <c r="F34" s="66"/>
    </row>
    <row r="35" spans="2:8" x14ac:dyDescent="0.25">
      <c r="B35" s="6" t="s">
        <v>1</v>
      </c>
      <c r="C35" s="6" t="s">
        <v>10</v>
      </c>
      <c r="D35" s="6" t="s">
        <v>11</v>
      </c>
      <c r="E35" s="6" t="s">
        <v>12</v>
      </c>
      <c r="F35" s="6" t="s">
        <v>13</v>
      </c>
    </row>
    <row r="36" spans="2:8" x14ac:dyDescent="0.25">
      <c r="B36" s="4">
        <v>1</v>
      </c>
      <c r="C36" s="7" t="s">
        <v>116</v>
      </c>
      <c r="D36" s="4" t="s">
        <v>118</v>
      </c>
      <c r="E36" s="12">
        <v>3800000</v>
      </c>
      <c r="F36" s="12">
        <v>3800000</v>
      </c>
    </row>
    <row r="37" spans="2:8" x14ac:dyDescent="0.25">
      <c r="B37" s="4">
        <v>2</v>
      </c>
      <c r="C37" s="7" t="s">
        <v>119</v>
      </c>
      <c r="D37" s="4" t="s">
        <v>120</v>
      </c>
      <c r="E37" s="12">
        <v>300000</v>
      </c>
      <c r="F37" s="12">
        <v>4800000</v>
      </c>
      <c r="G37" s="28"/>
      <c r="H37" s="28"/>
    </row>
    <row r="38" spans="2:8" x14ac:dyDescent="0.25">
      <c r="B38" s="72" t="s">
        <v>16</v>
      </c>
      <c r="C38" s="65"/>
      <c r="D38" s="65"/>
      <c r="E38" s="66"/>
      <c r="F38" s="48">
        <f>SUM(F36:F37)</f>
        <v>8600000</v>
      </c>
      <c r="H38" s="28"/>
    </row>
    <row r="39" spans="2:8" x14ac:dyDescent="0.25">
      <c r="B39" s="64" t="s">
        <v>123</v>
      </c>
      <c r="C39" s="65"/>
      <c r="D39" s="65"/>
      <c r="E39" s="65"/>
      <c r="F39" s="66"/>
    </row>
    <row r="40" spans="2:8" x14ac:dyDescent="0.25">
      <c r="B40" s="6" t="s">
        <v>1</v>
      </c>
      <c r="C40" s="6" t="s">
        <v>10</v>
      </c>
      <c r="D40" s="6" t="s">
        <v>11</v>
      </c>
      <c r="E40" s="6" t="s">
        <v>12</v>
      </c>
      <c r="F40" s="6" t="s">
        <v>13</v>
      </c>
    </row>
    <row r="41" spans="2:8" x14ac:dyDescent="0.25">
      <c r="B41" s="20">
        <v>1</v>
      </c>
      <c r="C41" s="24" t="s">
        <v>126</v>
      </c>
      <c r="D41" s="20" t="s">
        <v>127</v>
      </c>
      <c r="E41" s="49">
        <v>500</v>
      </c>
      <c r="F41" s="49">
        <f>500*24</f>
        <v>12000</v>
      </c>
    </row>
    <row r="42" spans="2:8" x14ac:dyDescent="0.25">
      <c r="B42" s="4">
        <v>2</v>
      </c>
      <c r="C42" s="4" t="s">
        <v>130</v>
      </c>
      <c r="D42" s="4" t="s">
        <v>132</v>
      </c>
      <c r="E42" s="46">
        <v>60000</v>
      </c>
      <c r="F42" s="46">
        <f>E42*2</f>
        <v>120000</v>
      </c>
    </row>
    <row r="43" spans="2:8" x14ac:dyDescent="0.25">
      <c r="B43" s="4">
        <v>3</v>
      </c>
      <c r="C43" s="4" t="s">
        <v>135</v>
      </c>
      <c r="D43" s="4" t="s">
        <v>136</v>
      </c>
      <c r="E43" s="46">
        <v>10000</v>
      </c>
      <c r="F43" s="46">
        <v>20000</v>
      </c>
    </row>
    <row r="44" spans="2:8" x14ac:dyDescent="0.25">
      <c r="B44" s="4">
        <v>4</v>
      </c>
      <c r="C44" s="4" t="s">
        <v>138</v>
      </c>
      <c r="D44" s="4" t="s">
        <v>139</v>
      </c>
      <c r="E44" s="46">
        <v>20000</v>
      </c>
      <c r="F44" s="46">
        <v>20000</v>
      </c>
    </row>
    <row r="45" spans="2:8" x14ac:dyDescent="0.25">
      <c r="B45" s="4"/>
      <c r="C45" s="67" t="s">
        <v>16</v>
      </c>
      <c r="D45" s="65"/>
      <c r="E45" s="66"/>
      <c r="F45" s="46">
        <f>SUM(F41:F44)</f>
        <v>172000</v>
      </c>
    </row>
    <row r="46" spans="2:8" x14ac:dyDescent="0.25">
      <c r="B46" s="68" t="s">
        <v>144</v>
      </c>
      <c r="C46" s="65"/>
      <c r="D46" s="65"/>
      <c r="E46" s="65"/>
      <c r="F46" s="66"/>
    </row>
    <row r="47" spans="2:8" x14ac:dyDescent="0.25">
      <c r="B47" s="50" t="s">
        <v>51</v>
      </c>
      <c r="C47" s="50" t="s">
        <v>149</v>
      </c>
      <c r="D47" s="50" t="s">
        <v>150</v>
      </c>
      <c r="E47" s="50" t="s">
        <v>151</v>
      </c>
      <c r="F47" s="50" t="s">
        <v>11</v>
      </c>
    </row>
    <row r="48" spans="2:8" x14ac:dyDescent="0.25">
      <c r="B48" s="20">
        <v>1</v>
      </c>
      <c r="C48" s="20" t="s">
        <v>153</v>
      </c>
      <c r="D48" s="20">
        <v>2</v>
      </c>
      <c r="E48" s="25">
        <v>10000</v>
      </c>
      <c r="F48" s="51">
        <f t="shared" ref="F48:F56" si="1">E48*D48</f>
        <v>20000</v>
      </c>
    </row>
    <row r="49" spans="2:6" x14ac:dyDescent="0.25">
      <c r="B49" s="20">
        <v>2</v>
      </c>
      <c r="C49" s="24" t="s">
        <v>158</v>
      </c>
      <c r="D49" s="20">
        <v>1</v>
      </c>
      <c r="E49" s="25">
        <v>15000</v>
      </c>
      <c r="F49" s="51">
        <f t="shared" si="1"/>
        <v>15000</v>
      </c>
    </row>
    <row r="50" spans="2:6" x14ac:dyDescent="0.25">
      <c r="B50" s="52">
        <v>3</v>
      </c>
      <c r="C50" s="52" t="s">
        <v>161</v>
      </c>
      <c r="D50" s="52">
        <v>2</v>
      </c>
      <c r="E50" s="53">
        <v>24000</v>
      </c>
      <c r="F50" s="54">
        <f t="shared" si="1"/>
        <v>48000</v>
      </c>
    </row>
    <row r="51" spans="2:6" x14ac:dyDescent="0.25">
      <c r="B51" s="20">
        <v>4</v>
      </c>
      <c r="C51" s="52" t="s">
        <v>164</v>
      </c>
      <c r="D51" s="52">
        <v>1</v>
      </c>
      <c r="E51" s="53">
        <v>7000</v>
      </c>
      <c r="F51" s="54">
        <f t="shared" si="1"/>
        <v>7000</v>
      </c>
    </row>
    <row r="52" spans="2:6" x14ac:dyDescent="0.25">
      <c r="B52" s="20">
        <v>5</v>
      </c>
      <c r="C52" s="52" t="s">
        <v>166</v>
      </c>
      <c r="D52" s="52">
        <v>2</v>
      </c>
      <c r="E52" s="53">
        <v>7000</v>
      </c>
      <c r="F52" s="54">
        <f t="shared" si="1"/>
        <v>14000</v>
      </c>
    </row>
    <row r="53" spans="2:6" x14ac:dyDescent="0.25">
      <c r="B53" s="52">
        <v>6</v>
      </c>
      <c r="C53" s="52" t="s">
        <v>168</v>
      </c>
      <c r="D53" s="52">
        <v>10</v>
      </c>
      <c r="E53" s="53">
        <v>1000</v>
      </c>
      <c r="F53" s="54">
        <f t="shared" si="1"/>
        <v>10000</v>
      </c>
    </row>
    <row r="54" spans="2:6" x14ac:dyDescent="0.25">
      <c r="B54" s="20">
        <v>7</v>
      </c>
      <c r="C54" s="52" t="s">
        <v>170</v>
      </c>
      <c r="D54" s="52">
        <v>1</v>
      </c>
      <c r="E54" s="53">
        <v>5000</v>
      </c>
      <c r="F54" s="54">
        <f t="shared" si="1"/>
        <v>5000</v>
      </c>
    </row>
    <row r="55" spans="2:6" x14ac:dyDescent="0.25">
      <c r="B55" s="20">
        <v>8</v>
      </c>
      <c r="C55" s="52" t="s">
        <v>172</v>
      </c>
      <c r="D55" s="52">
        <v>1</v>
      </c>
      <c r="E55" s="53">
        <v>5000</v>
      </c>
      <c r="F55" s="54">
        <f t="shared" si="1"/>
        <v>5000</v>
      </c>
    </row>
    <row r="56" spans="2:6" x14ac:dyDescent="0.25">
      <c r="B56" s="20">
        <v>9</v>
      </c>
      <c r="C56" s="52" t="s">
        <v>174</v>
      </c>
      <c r="D56" s="52">
        <v>1</v>
      </c>
      <c r="E56" s="53">
        <v>7000</v>
      </c>
      <c r="F56" s="54">
        <f t="shared" si="1"/>
        <v>7000</v>
      </c>
    </row>
    <row r="57" spans="2:6" x14ac:dyDescent="0.25">
      <c r="B57" s="20">
        <v>10</v>
      </c>
      <c r="C57" s="52" t="s">
        <v>176</v>
      </c>
      <c r="D57" s="52" t="s">
        <v>177</v>
      </c>
      <c r="E57" s="53">
        <v>12000</v>
      </c>
      <c r="F57" s="54">
        <v>12000</v>
      </c>
    </row>
    <row r="58" spans="2:6" x14ac:dyDescent="0.25">
      <c r="B58" s="52">
        <v>11</v>
      </c>
      <c r="C58" s="20" t="s">
        <v>178</v>
      </c>
      <c r="D58" s="20">
        <v>3</v>
      </c>
      <c r="E58" s="25">
        <v>5000</v>
      </c>
      <c r="F58" s="51">
        <f>E58*D58</f>
        <v>15000</v>
      </c>
    </row>
    <row r="59" spans="2:6" x14ac:dyDescent="0.25">
      <c r="B59" s="20">
        <v>12</v>
      </c>
      <c r="C59" s="20" t="s">
        <v>182</v>
      </c>
      <c r="D59" s="24">
        <v>3</v>
      </c>
      <c r="E59" s="25">
        <v>9000</v>
      </c>
      <c r="F59" s="51">
        <v>23500</v>
      </c>
    </row>
    <row r="60" spans="2:6" x14ac:dyDescent="0.25">
      <c r="B60" s="20">
        <v>13</v>
      </c>
      <c r="C60" s="20" t="s">
        <v>184</v>
      </c>
      <c r="D60" s="20">
        <v>3</v>
      </c>
      <c r="E60" s="25">
        <v>5000</v>
      </c>
      <c r="F60" s="51">
        <f>E60*D60</f>
        <v>15000</v>
      </c>
    </row>
    <row r="61" spans="2:6" x14ac:dyDescent="0.25">
      <c r="B61" s="52">
        <v>14</v>
      </c>
      <c r="C61" s="20" t="s">
        <v>185</v>
      </c>
      <c r="D61" s="20" t="s">
        <v>186</v>
      </c>
      <c r="E61" s="25">
        <v>25000</v>
      </c>
      <c r="F61" s="51">
        <f>E61</f>
        <v>25000</v>
      </c>
    </row>
    <row r="62" spans="2:6" x14ac:dyDescent="0.25">
      <c r="B62" s="20">
        <v>15</v>
      </c>
      <c r="C62" s="20" t="s">
        <v>188</v>
      </c>
      <c r="D62" s="20">
        <v>1</v>
      </c>
      <c r="E62" s="25">
        <v>20000</v>
      </c>
      <c r="F62" s="51">
        <f>E62*D62</f>
        <v>20000</v>
      </c>
    </row>
    <row r="63" spans="2:6" x14ac:dyDescent="0.25">
      <c r="B63" s="20">
        <v>16</v>
      </c>
      <c r="C63" s="20" t="s">
        <v>191</v>
      </c>
      <c r="D63" s="20">
        <v>2</v>
      </c>
      <c r="E63" s="25">
        <v>2400</v>
      </c>
      <c r="F63" s="51">
        <v>4800</v>
      </c>
    </row>
    <row r="64" spans="2:6" x14ac:dyDescent="0.25">
      <c r="B64" s="20">
        <v>17</v>
      </c>
      <c r="C64" s="20" t="s">
        <v>192</v>
      </c>
      <c r="D64" s="20">
        <v>2</v>
      </c>
      <c r="E64" s="25">
        <v>12200</v>
      </c>
      <c r="F64" s="51">
        <v>24400</v>
      </c>
    </row>
    <row r="65" spans="2:6" x14ac:dyDescent="0.25">
      <c r="B65" s="20">
        <v>18</v>
      </c>
      <c r="C65" s="20" t="s">
        <v>194</v>
      </c>
      <c r="D65" s="20">
        <v>1</v>
      </c>
      <c r="E65" s="25">
        <v>9000</v>
      </c>
      <c r="F65" s="51">
        <f>E65*D65</f>
        <v>9000</v>
      </c>
    </row>
    <row r="66" spans="2:6" x14ac:dyDescent="0.25">
      <c r="B66" s="52">
        <v>19</v>
      </c>
      <c r="C66" s="20" t="s">
        <v>196</v>
      </c>
      <c r="D66" s="20" t="s">
        <v>197</v>
      </c>
      <c r="E66" s="25">
        <v>12000</v>
      </c>
      <c r="F66" s="51">
        <f>E66*1</f>
        <v>12000</v>
      </c>
    </row>
    <row r="67" spans="2:6" x14ac:dyDescent="0.25">
      <c r="B67" s="20">
        <v>20</v>
      </c>
      <c r="C67" s="20" t="s">
        <v>200</v>
      </c>
      <c r="D67" s="20">
        <v>1</v>
      </c>
      <c r="E67" s="25">
        <v>29000</v>
      </c>
      <c r="F67" s="51">
        <f t="shared" ref="F67:F68" si="2">E67*D67</f>
        <v>29000</v>
      </c>
    </row>
    <row r="68" spans="2:6" x14ac:dyDescent="0.25">
      <c r="B68" s="20">
        <v>21</v>
      </c>
      <c r="C68" s="20" t="s">
        <v>202</v>
      </c>
      <c r="D68" s="20">
        <v>1</v>
      </c>
      <c r="E68" s="25">
        <v>52000</v>
      </c>
      <c r="F68" s="51">
        <f t="shared" si="2"/>
        <v>52000</v>
      </c>
    </row>
    <row r="69" spans="2:6" x14ac:dyDescent="0.25">
      <c r="B69" s="69" t="s">
        <v>16</v>
      </c>
      <c r="C69" s="65"/>
      <c r="D69" s="65"/>
      <c r="E69" s="66"/>
      <c r="F69" s="51">
        <f>SUM(F48:F68)</f>
        <v>372700</v>
      </c>
    </row>
    <row r="70" spans="2:6" x14ac:dyDescent="0.25">
      <c r="B70" s="70" t="s">
        <v>38</v>
      </c>
      <c r="C70" s="65"/>
      <c r="D70" s="65"/>
      <c r="E70" s="65"/>
      <c r="F70" s="66"/>
    </row>
    <row r="71" spans="2:6" x14ac:dyDescent="0.25">
      <c r="B71" s="6" t="s">
        <v>1</v>
      </c>
      <c r="C71" s="6" t="s">
        <v>10</v>
      </c>
      <c r="D71" s="6" t="s">
        <v>11</v>
      </c>
      <c r="E71" s="6" t="s">
        <v>12</v>
      </c>
      <c r="F71" s="6" t="s">
        <v>13</v>
      </c>
    </row>
    <row r="72" spans="2:6" x14ac:dyDescent="0.25">
      <c r="B72" s="4">
        <v>1</v>
      </c>
      <c r="C72" s="7" t="s">
        <v>209</v>
      </c>
      <c r="D72" s="4">
        <v>1</v>
      </c>
      <c r="E72" s="12">
        <v>25000</v>
      </c>
      <c r="F72" s="12">
        <v>25000</v>
      </c>
    </row>
    <row r="73" spans="2:6" x14ac:dyDescent="0.25">
      <c r="B73" s="4">
        <v>2</v>
      </c>
      <c r="C73" s="7" t="s">
        <v>210</v>
      </c>
      <c r="D73" s="4">
        <v>1</v>
      </c>
      <c r="E73" s="12">
        <v>50000</v>
      </c>
      <c r="F73" s="12">
        <v>50000</v>
      </c>
    </row>
    <row r="74" spans="2:6" x14ac:dyDescent="0.25">
      <c r="B74" s="34">
        <v>3</v>
      </c>
      <c r="C74" s="58" t="s">
        <v>212</v>
      </c>
      <c r="D74" s="34" t="s">
        <v>213</v>
      </c>
      <c r="E74" s="12">
        <v>1000</v>
      </c>
      <c r="F74" s="12">
        <v>25000</v>
      </c>
    </row>
    <row r="75" spans="2:6" x14ac:dyDescent="0.25">
      <c r="B75" s="71" t="s">
        <v>16</v>
      </c>
      <c r="C75" s="65"/>
      <c r="D75" s="65"/>
      <c r="E75" s="66"/>
      <c r="F75" s="59">
        <f>SUM(F72:F74)</f>
        <v>100000</v>
      </c>
    </row>
    <row r="76" spans="2:6" x14ac:dyDescent="0.25">
      <c r="B76" s="70" t="s">
        <v>32</v>
      </c>
      <c r="C76" s="65"/>
      <c r="D76" s="65"/>
      <c r="E76" s="65"/>
      <c r="F76" s="66"/>
    </row>
    <row r="77" spans="2:6" x14ac:dyDescent="0.25">
      <c r="B77" s="6" t="s">
        <v>1</v>
      </c>
      <c r="C77" s="6" t="s">
        <v>10</v>
      </c>
      <c r="D77" s="6" t="s">
        <v>11</v>
      </c>
      <c r="E77" s="6" t="s">
        <v>12</v>
      </c>
      <c r="F77" s="6" t="s">
        <v>13</v>
      </c>
    </row>
    <row r="78" spans="2:6" x14ac:dyDescent="0.25">
      <c r="B78" s="4">
        <v>1</v>
      </c>
      <c r="C78" s="7" t="s">
        <v>220</v>
      </c>
      <c r="D78" s="4">
        <v>1</v>
      </c>
      <c r="E78" s="12">
        <v>4000</v>
      </c>
      <c r="F78" s="12">
        <v>4000</v>
      </c>
    </row>
    <row r="79" spans="2:6" x14ac:dyDescent="0.25">
      <c r="B79" s="4">
        <v>2</v>
      </c>
      <c r="C79" s="7" t="s">
        <v>222</v>
      </c>
      <c r="D79" s="4">
        <v>1</v>
      </c>
      <c r="E79" s="12">
        <v>4000</v>
      </c>
      <c r="F79" s="12">
        <v>4000</v>
      </c>
    </row>
    <row r="80" spans="2:6" x14ac:dyDescent="0.25">
      <c r="B80" s="71" t="s">
        <v>16</v>
      </c>
      <c r="C80" s="65"/>
      <c r="D80" s="65"/>
      <c r="E80" s="66"/>
      <c r="F80" s="59">
        <f>SUM(F78:F79)</f>
        <v>8000</v>
      </c>
    </row>
  </sheetData>
  <mergeCells count="21">
    <mergeCell ref="B70:F70"/>
    <mergeCell ref="B75:E75"/>
    <mergeCell ref="B76:F76"/>
    <mergeCell ref="B80:E80"/>
    <mergeCell ref="B17:E17"/>
    <mergeCell ref="B27:E27"/>
    <mergeCell ref="B28:F28"/>
    <mergeCell ref="B33:E33"/>
    <mergeCell ref="B34:F34"/>
    <mergeCell ref="B38:E38"/>
    <mergeCell ref="B39:F39"/>
    <mergeCell ref="B14:F14"/>
    <mergeCell ref="B18:F18"/>
    <mergeCell ref="C45:E45"/>
    <mergeCell ref="B46:F46"/>
    <mergeCell ref="B69:E69"/>
    <mergeCell ref="B2:F2"/>
    <mergeCell ref="B4:F4"/>
    <mergeCell ref="B7:F7"/>
    <mergeCell ref="B9:F9"/>
    <mergeCell ref="H13:I1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J168"/>
  <sheetViews>
    <sheetView workbookViewId="0"/>
  </sheetViews>
  <sheetFormatPr defaultColWidth="12.6640625" defaultRowHeight="15.75" customHeight="1" x14ac:dyDescent="0.25"/>
  <cols>
    <col min="3" max="3" width="36.77734375" customWidth="1"/>
    <col min="4" max="4" width="26" customWidth="1"/>
    <col min="5" max="5" width="22.109375" customWidth="1"/>
    <col min="6" max="6" width="13.44140625" customWidth="1"/>
  </cols>
  <sheetData>
    <row r="2" spans="2:10" ht="15.75" customHeight="1" x14ac:dyDescent="0.3">
      <c r="B2" s="13"/>
      <c r="C2" s="14" t="s">
        <v>20</v>
      </c>
      <c r="D2" s="13"/>
      <c r="E2" s="13"/>
      <c r="F2" s="13"/>
    </row>
    <row r="3" spans="2:10" ht="15.75" customHeight="1" x14ac:dyDescent="0.3">
      <c r="B3" s="15" t="s">
        <v>1</v>
      </c>
      <c r="C3" s="16" t="s">
        <v>25</v>
      </c>
      <c r="D3" s="16" t="s">
        <v>26</v>
      </c>
      <c r="E3" s="13"/>
      <c r="F3" s="13"/>
    </row>
    <row r="4" spans="2:10" x14ac:dyDescent="0.25">
      <c r="B4" s="17">
        <v>1</v>
      </c>
      <c r="C4" s="18" t="s">
        <v>29</v>
      </c>
      <c r="D4" s="19">
        <v>23400000</v>
      </c>
      <c r="E4" s="13"/>
      <c r="F4" s="13"/>
    </row>
    <row r="5" spans="2:10" x14ac:dyDescent="0.25">
      <c r="B5" s="21">
        <v>2</v>
      </c>
      <c r="C5" s="21" t="s">
        <v>34</v>
      </c>
      <c r="D5" s="23">
        <v>2600000</v>
      </c>
      <c r="E5" s="13"/>
      <c r="F5" s="13"/>
    </row>
    <row r="6" spans="2:10" x14ac:dyDescent="0.25">
      <c r="B6" s="73" t="s">
        <v>16</v>
      </c>
      <c r="C6" s="66"/>
      <c r="D6" s="23">
        <f>D4+D5</f>
        <v>26000000</v>
      </c>
      <c r="E6" s="13"/>
      <c r="F6" s="13"/>
    </row>
    <row r="7" spans="2:10" x14ac:dyDescent="0.25">
      <c r="B7" s="13"/>
      <c r="C7" s="13"/>
      <c r="D7" s="13"/>
      <c r="E7" s="13"/>
      <c r="F7" s="13"/>
    </row>
    <row r="8" spans="2:10" x14ac:dyDescent="0.25">
      <c r="B8" s="13"/>
      <c r="C8" s="13"/>
      <c r="D8" s="13"/>
      <c r="E8" s="13"/>
      <c r="F8" s="13"/>
      <c r="G8" s="74"/>
      <c r="H8" s="75"/>
      <c r="I8" s="75"/>
      <c r="J8" s="75"/>
    </row>
    <row r="9" spans="2:10" x14ac:dyDescent="0.25">
      <c r="B9" s="13"/>
      <c r="C9" s="76" t="s">
        <v>47</v>
      </c>
      <c r="D9" s="75"/>
      <c r="E9" s="75"/>
      <c r="F9" s="13"/>
    </row>
    <row r="10" spans="2:10" x14ac:dyDescent="0.25">
      <c r="B10" s="13"/>
      <c r="C10" s="13"/>
      <c r="D10" s="13"/>
      <c r="E10" s="13"/>
      <c r="F10" s="13"/>
    </row>
    <row r="11" spans="2:10" ht="15.75" customHeight="1" x14ac:dyDescent="0.3">
      <c r="B11" s="29" t="s">
        <v>51</v>
      </c>
      <c r="C11" s="30" t="s">
        <v>53</v>
      </c>
      <c r="D11" s="30" t="s">
        <v>56</v>
      </c>
      <c r="E11" s="30" t="s">
        <v>57</v>
      </c>
      <c r="F11" s="30" t="s">
        <v>58</v>
      </c>
    </row>
    <row r="12" spans="2:10" ht="15.75" customHeight="1" x14ac:dyDescent="0.3">
      <c r="B12" s="31">
        <f t="shared" ref="B12:B167" si="0">ROW(B12)-11</f>
        <v>1</v>
      </c>
      <c r="C12" s="33" t="s">
        <v>66</v>
      </c>
      <c r="D12" s="35" t="b">
        <v>1</v>
      </c>
      <c r="E12" s="37">
        <v>45983</v>
      </c>
      <c r="F12" s="38">
        <v>150000</v>
      </c>
    </row>
    <row r="13" spans="2:10" ht="15.75" customHeight="1" x14ac:dyDescent="0.3">
      <c r="B13" s="31">
        <f t="shared" si="0"/>
        <v>2</v>
      </c>
      <c r="C13" s="33" t="s">
        <v>73</v>
      </c>
      <c r="D13" s="40" t="b">
        <v>1</v>
      </c>
      <c r="E13" s="37">
        <v>45983</v>
      </c>
      <c r="F13" s="38">
        <v>150000</v>
      </c>
    </row>
    <row r="14" spans="2:10" ht="15.75" customHeight="1" x14ac:dyDescent="0.3">
      <c r="B14" s="31">
        <f t="shared" si="0"/>
        <v>3</v>
      </c>
      <c r="C14" s="33" t="s">
        <v>77</v>
      </c>
      <c r="D14" s="40" t="b">
        <v>1</v>
      </c>
      <c r="E14" s="41">
        <v>45983</v>
      </c>
      <c r="F14" s="38">
        <v>150000</v>
      </c>
    </row>
    <row r="15" spans="2:10" ht="15.75" customHeight="1" x14ac:dyDescent="0.3">
      <c r="B15" s="31">
        <f t="shared" si="0"/>
        <v>4</v>
      </c>
      <c r="C15" s="33" t="s">
        <v>81</v>
      </c>
      <c r="D15" s="40" t="b">
        <v>1</v>
      </c>
      <c r="E15" s="42">
        <v>45983</v>
      </c>
      <c r="F15" s="38">
        <v>150000</v>
      </c>
    </row>
    <row r="16" spans="2:10" ht="15.75" customHeight="1" x14ac:dyDescent="0.3">
      <c r="B16" s="31">
        <f t="shared" si="0"/>
        <v>5</v>
      </c>
      <c r="C16" s="33" t="s">
        <v>84</v>
      </c>
      <c r="D16" s="40" t="b">
        <v>1</v>
      </c>
      <c r="E16" s="41">
        <v>45982</v>
      </c>
      <c r="F16" s="38">
        <v>150000</v>
      </c>
    </row>
    <row r="17" spans="2:6" ht="15.75" customHeight="1" x14ac:dyDescent="0.3">
      <c r="B17" s="31">
        <f t="shared" si="0"/>
        <v>6</v>
      </c>
      <c r="C17" s="33" t="s">
        <v>87</v>
      </c>
      <c r="D17" s="40" t="b">
        <v>1</v>
      </c>
      <c r="E17" s="41">
        <v>45984</v>
      </c>
      <c r="F17" s="38">
        <v>150000</v>
      </c>
    </row>
    <row r="18" spans="2:6" ht="15.75" customHeight="1" x14ac:dyDescent="0.3">
      <c r="B18" s="31">
        <f t="shared" si="0"/>
        <v>7</v>
      </c>
      <c r="C18" s="33" t="s">
        <v>91</v>
      </c>
      <c r="D18" s="40" t="b">
        <v>1</v>
      </c>
      <c r="E18" s="42">
        <v>45984</v>
      </c>
      <c r="F18" s="38">
        <v>150000</v>
      </c>
    </row>
    <row r="19" spans="2:6" ht="15.75" customHeight="1" x14ac:dyDescent="0.3">
      <c r="B19" s="31">
        <f t="shared" si="0"/>
        <v>8</v>
      </c>
      <c r="C19" s="33" t="s">
        <v>94</v>
      </c>
      <c r="D19" s="40" t="b">
        <v>1</v>
      </c>
      <c r="E19" s="42">
        <v>45984</v>
      </c>
      <c r="F19" s="38">
        <v>150000</v>
      </c>
    </row>
    <row r="20" spans="2:6" ht="15.75" customHeight="1" x14ac:dyDescent="0.3">
      <c r="B20" s="31">
        <f t="shared" si="0"/>
        <v>9</v>
      </c>
      <c r="C20" s="33" t="s">
        <v>97</v>
      </c>
      <c r="D20" s="40" t="b">
        <v>1</v>
      </c>
      <c r="E20" s="41">
        <v>45984</v>
      </c>
      <c r="F20" s="38">
        <v>150000</v>
      </c>
    </row>
    <row r="21" spans="2:6" ht="15.75" customHeight="1" x14ac:dyDescent="0.3">
      <c r="B21" s="31">
        <f t="shared" si="0"/>
        <v>10</v>
      </c>
      <c r="C21" s="33" t="s">
        <v>100</v>
      </c>
      <c r="D21" s="40" t="b">
        <v>1</v>
      </c>
      <c r="E21" s="42">
        <v>45984</v>
      </c>
      <c r="F21" s="38">
        <v>150000</v>
      </c>
    </row>
    <row r="22" spans="2:6" ht="15.75" customHeight="1" x14ac:dyDescent="0.3">
      <c r="B22" s="31">
        <f t="shared" si="0"/>
        <v>11</v>
      </c>
      <c r="C22" s="33" t="s">
        <v>101</v>
      </c>
      <c r="D22" s="40" t="b">
        <v>1</v>
      </c>
      <c r="E22" s="42">
        <v>45984</v>
      </c>
      <c r="F22" s="38">
        <v>150000</v>
      </c>
    </row>
    <row r="23" spans="2:6" ht="15.75" customHeight="1" x14ac:dyDescent="0.3">
      <c r="B23" s="31">
        <f t="shared" si="0"/>
        <v>12</v>
      </c>
      <c r="C23" s="33" t="s">
        <v>103</v>
      </c>
      <c r="D23" s="40" t="b">
        <v>1</v>
      </c>
      <c r="E23" s="42">
        <v>45984</v>
      </c>
      <c r="F23" s="38">
        <v>150000</v>
      </c>
    </row>
    <row r="24" spans="2:6" ht="15.75" customHeight="1" x14ac:dyDescent="0.3">
      <c r="B24" s="31">
        <f t="shared" si="0"/>
        <v>13</v>
      </c>
      <c r="C24" s="33" t="s">
        <v>105</v>
      </c>
      <c r="D24" s="40" t="b">
        <v>1</v>
      </c>
      <c r="E24" s="42">
        <v>45984</v>
      </c>
      <c r="F24" s="38">
        <v>150000</v>
      </c>
    </row>
    <row r="25" spans="2:6" ht="15.75" customHeight="1" x14ac:dyDescent="0.3">
      <c r="B25" s="31">
        <f t="shared" si="0"/>
        <v>14</v>
      </c>
      <c r="C25" s="33" t="s">
        <v>107</v>
      </c>
      <c r="D25" s="40" t="b">
        <v>1</v>
      </c>
      <c r="E25" s="42">
        <v>45984</v>
      </c>
      <c r="F25" s="38">
        <v>150000</v>
      </c>
    </row>
    <row r="26" spans="2:6" ht="15.75" customHeight="1" x14ac:dyDescent="0.3">
      <c r="B26" s="31">
        <f t="shared" si="0"/>
        <v>15</v>
      </c>
      <c r="C26" s="33" t="s">
        <v>111</v>
      </c>
      <c r="D26" s="40" t="b">
        <v>1</v>
      </c>
      <c r="E26" s="42">
        <v>45984</v>
      </c>
      <c r="F26" s="38">
        <v>150000</v>
      </c>
    </row>
    <row r="27" spans="2:6" ht="14.4" x14ac:dyDescent="0.3">
      <c r="B27" s="31">
        <f t="shared" si="0"/>
        <v>16</v>
      </c>
      <c r="C27" s="33" t="s">
        <v>112</v>
      </c>
      <c r="D27" s="40" t="b">
        <v>1</v>
      </c>
      <c r="E27" s="42">
        <v>45984</v>
      </c>
      <c r="F27" s="38">
        <v>150000</v>
      </c>
    </row>
    <row r="28" spans="2:6" ht="14.4" x14ac:dyDescent="0.3">
      <c r="B28" s="31">
        <f t="shared" si="0"/>
        <v>17</v>
      </c>
      <c r="C28" s="33" t="s">
        <v>113</v>
      </c>
      <c r="D28" s="40" t="b">
        <v>1</v>
      </c>
      <c r="E28" s="42">
        <v>45984</v>
      </c>
      <c r="F28" s="38">
        <v>150000</v>
      </c>
    </row>
    <row r="29" spans="2:6" ht="14.4" x14ac:dyDescent="0.3">
      <c r="B29" s="31">
        <f t="shared" si="0"/>
        <v>18</v>
      </c>
      <c r="C29" s="33" t="s">
        <v>115</v>
      </c>
      <c r="D29" s="40" t="b">
        <v>1</v>
      </c>
      <c r="E29" s="42">
        <v>45984</v>
      </c>
      <c r="F29" s="38">
        <v>150000</v>
      </c>
    </row>
    <row r="30" spans="2:6" ht="14.4" x14ac:dyDescent="0.3">
      <c r="B30" s="31">
        <f t="shared" si="0"/>
        <v>19</v>
      </c>
      <c r="C30" s="33" t="s">
        <v>117</v>
      </c>
      <c r="D30" s="40" t="b">
        <v>1</v>
      </c>
      <c r="E30" s="42">
        <v>45984</v>
      </c>
      <c r="F30" s="38">
        <v>150000</v>
      </c>
    </row>
    <row r="31" spans="2:6" ht="14.4" x14ac:dyDescent="0.3">
      <c r="B31" s="31">
        <f t="shared" si="0"/>
        <v>20</v>
      </c>
      <c r="C31" s="33" t="s">
        <v>121</v>
      </c>
      <c r="D31" s="40" t="b">
        <v>1</v>
      </c>
      <c r="E31" s="42">
        <v>45984</v>
      </c>
      <c r="F31" s="38">
        <v>150000</v>
      </c>
    </row>
    <row r="32" spans="2:6" ht="14.4" x14ac:dyDescent="0.3">
      <c r="B32" s="31">
        <f t="shared" si="0"/>
        <v>21</v>
      </c>
      <c r="C32" s="33" t="s">
        <v>122</v>
      </c>
      <c r="D32" s="40" t="b">
        <v>1</v>
      </c>
      <c r="E32" s="42">
        <v>45984</v>
      </c>
      <c r="F32" s="38">
        <v>150000</v>
      </c>
    </row>
    <row r="33" spans="2:6" ht="14.4" x14ac:dyDescent="0.3">
      <c r="B33" s="31">
        <f t="shared" si="0"/>
        <v>22</v>
      </c>
      <c r="C33" s="33" t="s">
        <v>124</v>
      </c>
      <c r="D33" s="40" t="b">
        <v>1</v>
      </c>
      <c r="E33" s="42">
        <v>45984</v>
      </c>
      <c r="F33" s="38">
        <v>150000</v>
      </c>
    </row>
    <row r="34" spans="2:6" ht="14.4" x14ac:dyDescent="0.3">
      <c r="B34" s="31">
        <f t="shared" si="0"/>
        <v>23</v>
      </c>
      <c r="C34" s="33" t="s">
        <v>125</v>
      </c>
      <c r="D34" s="40" t="b">
        <v>1</v>
      </c>
      <c r="E34" s="42">
        <v>45984</v>
      </c>
      <c r="F34" s="38">
        <v>150000</v>
      </c>
    </row>
    <row r="35" spans="2:6" ht="14.4" x14ac:dyDescent="0.3">
      <c r="B35" s="31">
        <f t="shared" si="0"/>
        <v>24</v>
      </c>
      <c r="C35" s="33" t="s">
        <v>128</v>
      </c>
      <c r="D35" s="40" t="b">
        <v>1</v>
      </c>
      <c r="E35" s="42">
        <v>45984</v>
      </c>
      <c r="F35" s="38">
        <v>150000</v>
      </c>
    </row>
    <row r="36" spans="2:6" ht="14.4" x14ac:dyDescent="0.3">
      <c r="B36" s="31">
        <f t="shared" si="0"/>
        <v>25</v>
      </c>
      <c r="C36" s="33" t="s">
        <v>129</v>
      </c>
      <c r="D36" s="40" t="b">
        <v>1</v>
      </c>
      <c r="E36" s="42">
        <v>45984</v>
      </c>
      <c r="F36" s="38">
        <v>150000</v>
      </c>
    </row>
    <row r="37" spans="2:6" ht="14.4" x14ac:dyDescent="0.3">
      <c r="B37" s="31">
        <f t="shared" si="0"/>
        <v>26</v>
      </c>
      <c r="C37" s="33" t="s">
        <v>131</v>
      </c>
      <c r="D37" s="40" t="b">
        <v>1</v>
      </c>
      <c r="E37" s="42">
        <v>45984</v>
      </c>
      <c r="F37" s="38">
        <v>150000</v>
      </c>
    </row>
    <row r="38" spans="2:6" ht="14.4" x14ac:dyDescent="0.3">
      <c r="B38" s="31">
        <f t="shared" si="0"/>
        <v>27</v>
      </c>
      <c r="C38" s="33" t="s">
        <v>133</v>
      </c>
      <c r="D38" s="40" t="b">
        <v>1</v>
      </c>
      <c r="E38" s="42">
        <v>45984</v>
      </c>
      <c r="F38" s="38">
        <v>150000</v>
      </c>
    </row>
    <row r="39" spans="2:6" ht="14.4" x14ac:dyDescent="0.3">
      <c r="B39" s="31">
        <f t="shared" si="0"/>
        <v>28</v>
      </c>
      <c r="C39" s="33" t="s">
        <v>134</v>
      </c>
      <c r="D39" s="40" t="b">
        <v>1</v>
      </c>
      <c r="E39" s="42">
        <v>45984</v>
      </c>
      <c r="F39" s="38">
        <v>150000</v>
      </c>
    </row>
    <row r="40" spans="2:6" ht="14.4" x14ac:dyDescent="0.3">
      <c r="B40" s="31">
        <f t="shared" si="0"/>
        <v>29</v>
      </c>
      <c r="C40" s="33" t="s">
        <v>137</v>
      </c>
      <c r="D40" s="40" t="b">
        <v>1</v>
      </c>
      <c r="E40" s="42">
        <v>45984</v>
      </c>
      <c r="F40" s="38">
        <v>150000</v>
      </c>
    </row>
    <row r="41" spans="2:6" ht="14.4" x14ac:dyDescent="0.3">
      <c r="B41" s="31">
        <f t="shared" si="0"/>
        <v>30</v>
      </c>
      <c r="C41" s="33" t="s">
        <v>140</v>
      </c>
      <c r="D41" s="40" t="b">
        <v>1</v>
      </c>
      <c r="E41" s="42">
        <v>45984</v>
      </c>
      <c r="F41" s="38">
        <v>150000</v>
      </c>
    </row>
    <row r="42" spans="2:6" ht="14.4" x14ac:dyDescent="0.3">
      <c r="B42" s="31">
        <f t="shared" si="0"/>
        <v>31</v>
      </c>
      <c r="C42" s="33" t="s">
        <v>141</v>
      </c>
      <c r="D42" s="40" t="b">
        <v>1</v>
      </c>
      <c r="E42" s="42">
        <v>45984</v>
      </c>
      <c r="F42" s="38">
        <v>150000</v>
      </c>
    </row>
    <row r="43" spans="2:6" ht="14.4" x14ac:dyDescent="0.3">
      <c r="B43" s="31">
        <f t="shared" si="0"/>
        <v>32</v>
      </c>
      <c r="C43" s="33" t="s">
        <v>142</v>
      </c>
      <c r="D43" s="40" t="b">
        <v>1</v>
      </c>
      <c r="E43" s="42">
        <v>45984</v>
      </c>
      <c r="F43" s="38">
        <v>150000</v>
      </c>
    </row>
    <row r="44" spans="2:6" ht="14.4" x14ac:dyDescent="0.3">
      <c r="B44" s="31">
        <f t="shared" si="0"/>
        <v>33</v>
      </c>
      <c r="C44" s="33" t="s">
        <v>143</v>
      </c>
      <c r="D44" s="40" t="b">
        <v>1</v>
      </c>
      <c r="E44" s="42">
        <v>45984</v>
      </c>
      <c r="F44" s="38">
        <v>150000</v>
      </c>
    </row>
    <row r="45" spans="2:6" ht="14.4" x14ac:dyDescent="0.3">
      <c r="B45" s="31">
        <f t="shared" si="0"/>
        <v>34</v>
      </c>
      <c r="C45" s="33" t="s">
        <v>145</v>
      </c>
      <c r="D45" s="40" t="b">
        <v>1</v>
      </c>
      <c r="E45" s="42">
        <v>45984</v>
      </c>
      <c r="F45" s="38">
        <v>150000</v>
      </c>
    </row>
    <row r="46" spans="2:6" ht="14.4" x14ac:dyDescent="0.3">
      <c r="B46" s="31">
        <f t="shared" si="0"/>
        <v>35</v>
      </c>
      <c r="C46" s="33" t="s">
        <v>146</v>
      </c>
      <c r="D46" s="40" t="b">
        <v>1</v>
      </c>
      <c r="E46" s="42">
        <v>45984</v>
      </c>
      <c r="F46" s="38">
        <v>150000</v>
      </c>
    </row>
    <row r="47" spans="2:6" ht="14.4" x14ac:dyDescent="0.3">
      <c r="B47" s="31">
        <f t="shared" si="0"/>
        <v>36</v>
      </c>
      <c r="C47" s="33" t="s">
        <v>147</v>
      </c>
      <c r="D47" s="40" t="b">
        <v>1</v>
      </c>
      <c r="E47" s="42">
        <v>45984</v>
      </c>
      <c r="F47" s="38">
        <v>150000</v>
      </c>
    </row>
    <row r="48" spans="2:6" ht="14.4" x14ac:dyDescent="0.3">
      <c r="B48" s="31">
        <f t="shared" si="0"/>
        <v>37</v>
      </c>
      <c r="C48" s="33" t="s">
        <v>148</v>
      </c>
      <c r="D48" s="40" t="b">
        <v>1</v>
      </c>
      <c r="E48" s="42">
        <v>45984</v>
      </c>
      <c r="F48" s="38">
        <v>150000</v>
      </c>
    </row>
    <row r="49" spans="2:6" ht="14.4" x14ac:dyDescent="0.3">
      <c r="B49" s="31">
        <f t="shared" si="0"/>
        <v>38</v>
      </c>
      <c r="C49" s="33" t="s">
        <v>152</v>
      </c>
      <c r="D49" s="40" t="b">
        <v>1</v>
      </c>
      <c r="E49" s="42">
        <v>45984</v>
      </c>
      <c r="F49" s="38">
        <v>150000</v>
      </c>
    </row>
    <row r="50" spans="2:6" ht="14.4" x14ac:dyDescent="0.3">
      <c r="B50" s="31">
        <f t="shared" si="0"/>
        <v>39</v>
      </c>
      <c r="C50" s="33" t="s">
        <v>154</v>
      </c>
      <c r="D50" s="40" t="b">
        <v>1</v>
      </c>
      <c r="E50" s="42">
        <v>45984</v>
      </c>
      <c r="F50" s="38">
        <v>150000</v>
      </c>
    </row>
    <row r="51" spans="2:6" ht="14.4" x14ac:dyDescent="0.3">
      <c r="B51" s="31">
        <f t="shared" si="0"/>
        <v>40</v>
      </c>
      <c r="C51" s="33" t="s">
        <v>155</v>
      </c>
      <c r="D51" s="40" t="b">
        <v>1</v>
      </c>
      <c r="E51" s="41">
        <v>45985</v>
      </c>
      <c r="F51" s="38">
        <v>150000</v>
      </c>
    </row>
    <row r="52" spans="2:6" ht="14.4" x14ac:dyDescent="0.3">
      <c r="B52" s="31">
        <f t="shared" si="0"/>
        <v>41</v>
      </c>
      <c r="C52" s="33" t="s">
        <v>156</v>
      </c>
      <c r="D52" s="40" t="b">
        <v>1</v>
      </c>
      <c r="E52" s="41">
        <v>45984</v>
      </c>
      <c r="F52" s="38">
        <v>150000</v>
      </c>
    </row>
    <row r="53" spans="2:6" ht="14.4" x14ac:dyDescent="0.3">
      <c r="B53" s="31">
        <f t="shared" si="0"/>
        <v>42</v>
      </c>
      <c r="C53" s="33" t="s">
        <v>157</v>
      </c>
      <c r="D53" s="40" t="b">
        <v>1</v>
      </c>
      <c r="E53" s="42">
        <v>45985</v>
      </c>
      <c r="F53" s="38">
        <v>150000</v>
      </c>
    </row>
    <row r="54" spans="2:6" ht="14.4" x14ac:dyDescent="0.3">
      <c r="B54" s="31">
        <f t="shared" si="0"/>
        <v>43</v>
      </c>
      <c r="C54" s="33" t="s">
        <v>159</v>
      </c>
      <c r="D54" s="40" t="b">
        <v>1</v>
      </c>
      <c r="E54" s="42">
        <v>45985</v>
      </c>
      <c r="F54" s="38">
        <v>150000</v>
      </c>
    </row>
    <row r="55" spans="2:6" ht="14.4" x14ac:dyDescent="0.3">
      <c r="B55" s="31">
        <f t="shared" si="0"/>
        <v>44</v>
      </c>
      <c r="C55" s="33" t="s">
        <v>160</v>
      </c>
      <c r="D55" s="40" t="b">
        <v>1</v>
      </c>
      <c r="E55" s="42">
        <v>45985</v>
      </c>
      <c r="F55" s="38">
        <v>150000</v>
      </c>
    </row>
    <row r="56" spans="2:6" ht="14.4" x14ac:dyDescent="0.3">
      <c r="B56" s="31">
        <f t="shared" si="0"/>
        <v>45</v>
      </c>
      <c r="C56" s="33" t="s">
        <v>162</v>
      </c>
      <c r="D56" s="40" t="b">
        <v>1</v>
      </c>
      <c r="E56" s="42">
        <v>45985</v>
      </c>
      <c r="F56" s="38">
        <v>150000</v>
      </c>
    </row>
    <row r="57" spans="2:6" ht="14.4" x14ac:dyDescent="0.3">
      <c r="B57" s="31">
        <f t="shared" si="0"/>
        <v>46</v>
      </c>
      <c r="C57" s="33" t="s">
        <v>163</v>
      </c>
      <c r="D57" s="40" t="b">
        <v>1</v>
      </c>
      <c r="E57" s="42">
        <v>45985</v>
      </c>
      <c r="F57" s="38">
        <v>150000</v>
      </c>
    </row>
    <row r="58" spans="2:6" ht="14.4" x14ac:dyDescent="0.3">
      <c r="B58" s="31">
        <f t="shared" si="0"/>
        <v>47</v>
      </c>
      <c r="C58" s="33" t="s">
        <v>165</v>
      </c>
      <c r="D58" s="40" t="b">
        <v>1</v>
      </c>
      <c r="E58" s="41">
        <v>45985</v>
      </c>
      <c r="F58" s="38">
        <v>150000</v>
      </c>
    </row>
    <row r="59" spans="2:6" ht="14.4" x14ac:dyDescent="0.3">
      <c r="B59" s="31">
        <f t="shared" si="0"/>
        <v>48</v>
      </c>
      <c r="C59" s="33" t="s">
        <v>167</v>
      </c>
      <c r="D59" s="40" t="b">
        <v>1</v>
      </c>
      <c r="E59" s="41">
        <v>45985</v>
      </c>
      <c r="F59" s="38">
        <v>150000</v>
      </c>
    </row>
    <row r="60" spans="2:6" ht="14.4" x14ac:dyDescent="0.3">
      <c r="B60" s="31">
        <f t="shared" si="0"/>
        <v>49</v>
      </c>
      <c r="C60" s="33" t="s">
        <v>169</v>
      </c>
      <c r="D60" s="40" t="b">
        <v>1</v>
      </c>
      <c r="E60" s="42">
        <v>45985</v>
      </c>
      <c r="F60" s="38">
        <v>150000</v>
      </c>
    </row>
    <row r="61" spans="2:6" ht="14.4" x14ac:dyDescent="0.3">
      <c r="B61" s="31">
        <f t="shared" si="0"/>
        <v>50</v>
      </c>
      <c r="C61" s="33" t="s">
        <v>171</v>
      </c>
      <c r="D61" s="40" t="b">
        <v>1</v>
      </c>
      <c r="E61" s="42">
        <v>45985</v>
      </c>
      <c r="F61" s="38">
        <v>150000</v>
      </c>
    </row>
    <row r="62" spans="2:6" ht="14.4" x14ac:dyDescent="0.3">
      <c r="B62" s="31">
        <f t="shared" si="0"/>
        <v>51</v>
      </c>
      <c r="C62" s="33" t="s">
        <v>173</v>
      </c>
      <c r="D62" s="40" t="b">
        <v>1</v>
      </c>
      <c r="E62" s="41">
        <v>45984</v>
      </c>
      <c r="F62" s="38">
        <v>150000</v>
      </c>
    </row>
    <row r="63" spans="2:6" ht="14.4" x14ac:dyDescent="0.3">
      <c r="B63" s="31">
        <f t="shared" si="0"/>
        <v>52</v>
      </c>
      <c r="C63" s="33" t="s">
        <v>175</v>
      </c>
      <c r="D63" s="40" t="b">
        <v>1</v>
      </c>
      <c r="E63" s="42">
        <v>45985</v>
      </c>
      <c r="F63" s="38">
        <v>150000</v>
      </c>
    </row>
    <row r="64" spans="2:6" ht="14.4" x14ac:dyDescent="0.3">
      <c r="B64" s="31">
        <f t="shared" si="0"/>
        <v>53</v>
      </c>
      <c r="C64" s="33" t="s">
        <v>179</v>
      </c>
      <c r="D64" s="40" t="b">
        <v>1</v>
      </c>
      <c r="E64" s="41">
        <v>45984</v>
      </c>
      <c r="F64" s="38">
        <v>150000</v>
      </c>
    </row>
    <row r="65" spans="2:6" ht="14.4" x14ac:dyDescent="0.3">
      <c r="B65" s="31">
        <f t="shared" si="0"/>
        <v>54</v>
      </c>
      <c r="C65" s="33" t="s">
        <v>180</v>
      </c>
      <c r="D65" s="40" t="b">
        <v>1</v>
      </c>
      <c r="E65" s="42">
        <v>45985</v>
      </c>
      <c r="F65" s="38">
        <v>150000</v>
      </c>
    </row>
    <row r="66" spans="2:6" ht="13.8" x14ac:dyDescent="0.25">
      <c r="B66" s="31">
        <f t="shared" si="0"/>
        <v>55</v>
      </c>
      <c r="C66" s="33" t="s">
        <v>181</v>
      </c>
      <c r="D66" s="18" t="b">
        <v>1</v>
      </c>
      <c r="E66" s="41">
        <v>45985</v>
      </c>
      <c r="F66" s="38">
        <v>150000</v>
      </c>
    </row>
    <row r="67" spans="2:6" ht="14.4" x14ac:dyDescent="0.3">
      <c r="B67" s="31">
        <f t="shared" si="0"/>
        <v>56</v>
      </c>
      <c r="C67" s="33" t="s">
        <v>183</v>
      </c>
      <c r="D67" s="40" t="b">
        <v>1</v>
      </c>
      <c r="E67" s="42">
        <v>45985</v>
      </c>
      <c r="F67" s="38">
        <v>150000</v>
      </c>
    </row>
    <row r="68" spans="2:6" ht="14.4" x14ac:dyDescent="0.3">
      <c r="B68" s="55">
        <f t="shared" si="0"/>
        <v>57</v>
      </c>
      <c r="C68" s="56" t="s">
        <v>187</v>
      </c>
      <c r="D68" s="40" t="b">
        <v>1</v>
      </c>
      <c r="E68" s="42">
        <v>45985</v>
      </c>
      <c r="F68" s="38">
        <v>150000</v>
      </c>
    </row>
    <row r="69" spans="2:6" ht="14.4" x14ac:dyDescent="0.3">
      <c r="B69" s="31">
        <f t="shared" si="0"/>
        <v>58</v>
      </c>
      <c r="C69" s="33" t="s">
        <v>189</v>
      </c>
      <c r="D69" s="40" t="b">
        <v>1</v>
      </c>
      <c r="E69" s="42">
        <v>45985</v>
      </c>
      <c r="F69" s="38">
        <v>150000</v>
      </c>
    </row>
    <row r="70" spans="2:6" ht="14.4" x14ac:dyDescent="0.3">
      <c r="B70" s="31">
        <f t="shared" si="0"/>
        <v>59</v>
      </c>
      <c r="C70" s="33" t="s">
        <v>190</v>
      </c>
      <c r="D70" s="40" t="b">
        <v>1</v>
      </c>
      <c r="E70" s="42">
        <v>45985</v>
      </c>
      <c r="F70" s="38">
        <v>150000</v>
      </c>
    </row>
    <row r="71" spans="2:6" ht="14.4" x14ac:dyDescent="0.3">
      <c r="B71" s="31">
        <f t="shared" si="0"/>
        <v>60</v>
      </c>
      <c r="C71" s="33" t="s">
        <v>193</v>
      </c>
      <c r="D71" s="18" t="b">
        <v>1</v>
      </c>
      <c r="E71" s="42">
        <v>45985</v>
      </c>
      <c r="F71" s="38">
        <v>150000</v>
      </c>
    </row>
    <row r="72" spans="2:6" ht="14.4" x14ac:dyDescent="0.3">
      <c r="B72" s="31">
        <f t="shared" si="0"/>
        <v>61</v>
      </c>
      <c r="C72" s="33" t="s">
        <v>195</v>
      </c>
      <c r="D72" s="40" t="b">
        <v>1</v>
      </c>
      <c r="E72" s="41">
        <v>45984</v>
      </c>
      <c r="F72" s="38">
        <v>150000</v>
      </c>
    </row>
    <row r="73" spans="2:6" ht="14.4" x14ac:dyDescent="0.3">
      <c r="B73" s="31">
        <f t="shared" si="0"/>
        <v>62</v>
      </c>
      <c r="C73" s="33" t="s">
        <v>198</v>
      </c>
      <c r="D73" s="40" t="b">
        <v>1</v>
      </c>
      <c r="E73" s="42">
        <v>45985</v>
      </c>
      <c r="F73" s="38">
        <v>150000</v>
      </c>
    </row>
    <row r="74" spans="2:6" ht="14.4" x14ac:dyDescent="0.3">
      <c r="B74" s="31">
        <f t="shared" si="0"/>
        <v>63</v>
      </c>
      <c r="C74" s="33" t="s">
        <v>199</v>
      </c>
      <c r="D74" s="40" t="b">
        <v>1</v>
      </c>
      <c r="E74" s="42">
        <v>45985</v>
      </c>
      <c r="F74" s="38">
        <v>150000</v>
      </c>
    </row>
    <row r="75" spans="2:6" ht="14.4" x14ac:dyDescent="0.3">
      <c r="B75" s="31">
        <f t="shared" si="0"/>
        <v>64</v>
      </c>
      <c r="C75" s="33" t="s">
        <v>201</v>
      </c>
      <c r="D75" s="40" t="b">
        <v>1</v>
      </c>
      <c r="E75" s="42">
        <v>45985</v>
      </c>
      <c r="F75" s="38">
        <v>150000</v>
      </c>
    </row>
    <row r="76" spans="2:6" ht="14.4" x14ac:dyDescent="0.3">
      <c r="B76" s="31">
        <f t="shared" si="0"/>
        <v>65</v>
      </c>
      <c r="C76" s="33" t="s">
        <v>203</v>
      </c>
      <c r="D76" s="40" t="b">
        <v>1</v>
      </c>
      <c r="E76" s="42">
        <v>45985</v>
      </c>
      <c r="F76" s="38">
        <v>150000</v>
      </c>
    </row>
    <row r="77" spans="2:6" ht="14.4" x14ac:dyDescent="0.3">
      <c r="B77" s="31">
        <f t="shared" si="0"/>
        <v>66</v>
      </c>
      <c r="C77" s="33" t="s">
        <v>204</v>
      </c>
      <c r="D77" s="40" t="b">
        <v>1</v>
      </c>
      <c r="E77" s="42">
        <v>45985</v>
      </c>
      <c r="F77" s="38">
        <v>150000</v>
      </c>
    </row>
    <row r="78" spans="2:6" ht="14.4" x14ac:dyDescent="0.3">
      <c r="B78" s="31">
        <f t="shared" si="0"/>
        <v>67</v>
      </c>
      <c r="C78" s="33" t="s">
        <v>205</v>
      </c>
      <c r="D78" s="40" t="b">
        <v>1</v>
      </c>
      <c r="E78" s="42">
        <v>45985</v>
      </c>
      <c r="F78" s="38">
        <v>150000</v>
      </c>
    </row>
    <row r="79" spans="2:6" ht="14.4" x14ac:dyDescent="0.3">
      <c r="B79" s="31">
        <f t="shared" si="0"/>
        <v>68</v>
      </c>
      <c r="C79" s="33" t="s">
        <v>206</v>
      </c>
      <c r="D79" s="40" t="b">
        <v>1</v>
      </c>
      <c r="E79" s="42">
        <v>45985</v>
      </c>
      <c r="F79" s="38">
        <v>150000</v>
      </c>
    </row>
    <row r="80" spans="2:6" ht="14.4" x14ac:dyDescent="0.3">
      <c r="B80" s="31">
        <f t="shared" si="0"/>
        <v>69</v>
      </c>
      <c r="C80" s="33" t="s">
        <v>207</v>
      </c>
      <c r="D80" s="40" t="b">
        <v>1</v>
      </c>
      <c r="E80" s="41">
        <v>45985</v>
      </c>
      <c r="F80" s="38">
        <v>150000</v>
      </c>
    </row>
    <row r="81" spans="2:6" ht="14.4" x14ac:dyDescent="0.3">
      <c r="B81" s="31">
        <f t="shared" si="0"/>
        <v>70</v>
      </c>
      <c r="C81" s="57" t="s">
        <v>208</v>
      </c>
      <c r="D81" s="40" t="b">
        <v>1</v>
      </c>
      <c r="E81" s="41">
        <v>45985</v>
      </c>
      <c r="F81" s="38">
        <v>150000</v>
      </c>
    </row>
    <row r="82" spans="2:6" ht="14.4" x14ac:dyDescent="0.3">
      <c r="B82" s="31">
        <f t="shared" si="0"/>
        <v>71</v>
      </c>
      <c r="C82" s="57" t="s">
        <v>211</v>
      </c>
      <c r="D82" s="40" t="b">
        <v>1</v>
      </c>
      <c r="E82" s="41">
        <v>45984</v>
      </c>
      <c r="F82" s="38">
        <v>150000</v>
      </c>
    </row>
    <row r="83" spans="2:6" ht="14.4" x14ac:dyDescent="0.3">
      <c r="B83" s="31">
        <f t="shared" si="0"/>
        <v>72</v>
      </c>
      <c r="C83" s="33" t="s">
        <v>214</v>
      </c>
      <c r="D83" s="40" t="b">
        <v>1</v>
      </c>
      <c r="E83" s="41">
        <v>45984</v>
      </c>
      <c r="F83" s="38">
        <v>150000</v>
      </c>
    </row>
    <row r="84" spans="2:6" ht="14.4" x14ac:dyDescent="0.3">
      <c r="B84" s="31">
        <f t="shared" si="0"/>
        <v>73</v>
      </c>
      <c r="C84" s="33" t="s">
        <v>215</v>
      </c>
      <c r="D84" s="40" t="b">
        <v>1</v>
      </c>
      <c r="E84" s="41">
        <v>45985</v>
      </c>
      <c r="F84" s="38">
        <v>150000</v>
      </c>
    </row>
    <row r="85" spans="2:6" ht="14.4" x14ac:dyDescent="0.3">
      <c r="B85" s="55">
        <f t="shared" si="0"/>
        <v>74</v>
      </c>
      <c r="C85" s="56" t="s">
        <v>216</v>
      </c>
      <c r="D85" s="40" t="b">
        <v>1</v>
      </c>
      <c r="E85" s="41">
        <v>45985</v>
      </c>
      <c r="F85" s="38">
        <v>150000</v>
      </c>
    </row>
    <row r="86" spans="2:6" ht="14.4" x14ac:dyDescent="0.3">
      <c r="B86" s="31">
        <f t="shared" si="0"/>
        <v>75</v>
      </c>
      <c r="C86" s="33" t="s">
        <v>217</v>
      </c>
      <c r="D86" s="40" t="b">
        <v>1</v>
      </c>
      <c r="E86" s="41">
        <v>45985</v>
      </c>
      <c r="F86" s="38">
        <v>150000</v>
      </c>
    </row>
    <row r="87" spans="2:6" ht="14.4" x14ac:dyDescent="0.3">
      <c r="B87" s="31">
        <f t="shared" si="0"/>
        <v>76</v>
      </c>
      <c r="C87" s="33" t="s">
        <v>218</v>
      </c>
      <c r="D87" s="40" t="b">
        <v>1</v>
      </c>
      <c r="E87" s="41">
        <v>45985</v>
      </c>
      <c r="F87" s="38">
        <v>150000</v>
      </c>
    </row>
    <row r="88" spans="2:6" ht="14.4" x14ac:dyDescent="0.3">
      <c r="B88" s="31">
        <f t="shared" si="0"/>
        <v>77</v>
      </c>
      <c r="C88" s="33" t="s">
        <v>219</v>
      </c>
      <c r="D88" s="40" t="b">
        <v>1</v>
      </c>
      <c r="E88" s="41">
        <v>45985</v>
      </c>
      <c r="F88" s="38">
        <v>150000</v>
      </c>
    </row>
    <row r="89" spans="2:6" ht="14.4" x14ac:dyDescent="0.3">
      <c r="B89" s="31">
        <f t="shared" si="0"/>
        <v>78</v>
      </c>
      <c r="C89" s="33" t="s">
        <v>221</v>
      </c>
      <c r="D89" s="40" t="b">
        <v>1</v>
      </c>
      <c r="E89" s="41">
        <v>45985</v>
      </c>
      <c r="F89" s="38">
        <v>150000</v>
      </c>
    </row>
    <row r="90" spans="2:6" ht="14.4" x14ac:dyDescent="0.3">
      <c r="B90" s="31">
        <f t="shared" si="0"/>
        <v>79</v>
      </c>
      <c r="C90" s="33" t="s">
        <v>223</v>
      </c>
      <c r="D90" s="40" t="b">
        <v>1</v>
      </c>
      <c r="E90" s="41">
        <v>45985</v>
      </c>
      <c r="F90" s="38">
        <v>150000</v>
      </c>
    </row>
    <row r="91" spans="2:6" ht="14.4" x14ac:dyDescent="0.3">
      <c r="B91" s="31">
        <f t="shared" si="0"/>
        <v>80</v>
      </c>
      <c r="C91" s="33" t="s">
        <v>224</v>
      </c>
      <c r="D91" s="40" t="b">
        <v>1</v>
      </c>
      <c r="E91" s="41">
        <v>45985</v>
      </c>
      <c r="F91" s="38">
        <v>150000</v>
      </c>
    </row>
    <row r="92" spans="2:6" ht="14.4" x14ac:dyDescent="0.3">
      <c r="B92" s="31">
        <f t="shared" si="0"/>
        <v>81</v>
      </c>
      <c r="C92" s="33" t="s">
        <v>225</v>
      </c>
      <c r="D92" s="40" t="b">
        <v>1</v>
      </c>
      <c r="E92" s="41">
        <v>45985</v>
      </c>
      <c r="F92" s="38">
        <v>150000</v>
      </c>
    </row>
    <row r="93" spans="2:6" ht="14.4" x14ac:dyDescent="0.3">
      <c r="B93" s="31">
        <f t="shared" si="0"/>
        <v>82</v>
      </c>
      <c r="C93" s="33" t="s">
        <v>226</v>
      </c>
      <c r="D93" s="40" t="b">
        <v>1</v>
      </c>
      <c r="E93" s="41">
        <v>45985</v>
      </c>
      <c r="F93" s="38">
        <v>150000</v>
      </c>
    </row>
    <row r="94" spans="2:6" ht="14.4" x14ac:dyDescent="0.3">
      <c r="B94" s="31">
        <f t="shared" si="0"/>
        <v>83</v>
      </c>
      <c r="C94" s="33" t="s">
        <v>227</v>
      </c>
      <c r="D94" s="40" t="b">
        <v>1</v>
      </c>
      <c r="E94" s="41">
        <v>45985</v>
      </c>
      <c r="F94" s="38">
        <v>150000</v>
      </c>
    </row>
    <row r="95" spans="2:6" ht="14.4" x14ac:dyDescent="0.3">
      <c r="B95" s="31">
        <f t="shared" si="0"/>
        <v>84</v>
      </c>
      <c r="C95" s="33" t="s">
        <v>228</v>
      </c>
      <c r="D95" s="40" t="b">
        <v>1</v>
      </c>
      <c r="E95" s="41">
        <v>45985</v>
      </c>
      <c r="F95" s="38">
        <v>150000</v>
      </c>
    </row>
    <row r="96" spans="2:6" ht="14.4" x14ac:dyDescent="0.3">
      <c r="B96" s="31">
        <f t="shared" si="0"/>
        <v>85</v>
      </c>
      <c r="C96" s="33" t="s">
        <v>229</v>
      </c>
      <c r="D96" s="40" t="b">
        <v>1</v>
      </c>
      <c r="E96" s="41">
        <v>45985</v>
      </c>
      <c r="F96" s="38">
        <v>150000</v>
      </c>
    </row>
    <row r="97" spans="2:6" ht="14.4" x14ac:dyDescent="0.3">
      <c r="B97" s="31">
        <f t="shared" si="0"/>
        <v>86</v>
      </c>
      <c r="C97" s="33" t="s">
        <v>230</v>
      </c>
      <c r="D97" s="40" t="b">
        <v>1</v>
      </c>
      <c r="E97" s="41">
        <v>45985</v>
      </c>
      <c r="F97" s="38">
        <v>150000</v>
      </c>
    </row>
    <row r="98" spans="2:6" ht="14.4" x14ac:dyDescent="0.3">
      <c r="B98" s="31">
        <f t="shared" si="0"/>
        <v>87</v>
      </c>
      <c r="C98" s="33" t="s">
        <v>231</v>
      </c>
      <c r="D98" s="40" t="b">
        <v>1</v>
      </c>
      <c r="E98" s="41">
        <v>45985</v>
      </c>
      <c r="F98" s="38">
        <v>150000</v>
      </c>
    </row>
    <row r="99" spans="2:6" ht="14.4" x14ac:dyDescent="0.3">
      <c r="B99" s="31">
        <f t="shared" si="0"/>
        <v>88</v>
      </c>
      <c r="C99" s="33" t="s">
        <v>232</v>
      </c>
      <c r="D99" s="40" t="b">
        <v>1</v>
      </c>
      <c r="E99" s="41">
        <v>45985</v>
      </c>
      <c r="F99" s="38">
        <v>150000</v>
      </c>
    </row>
    <row r="100" spans="2:6" ht="14.4" x14ac:dyDescent="0.3">
      <c r="B100" s="31">
        <f t="shared" si="0"/>
        <v>89</v>
      </c>
      <c r="C100" s="33" t="s">
        <v>233</v>
      </c>
      <c r="D100" s="40" t="b">
        <v>1</v>
      </c>
      <c r="E100" s="41">
        <v>45985</v>
      </c>
      <c r="F100" s="38">
        <v>150000</v>
      </c>
    </row>
    <row r="101" spans="2:6" ht="14.4" x14ac:dyDescent="0.3">
      <c r="B101" s="31">
        <f t="shared" si="0"/>
        <v>90</v>
      </c>
      <c r="C101" s="33" t="s">
        <v>234</v>
      </c>
      <c r="D101" s="40" t="b">
        <v>1</v>
      </c>
      <c r="E101" s="41">
        <v>45985</v>
      </c>
      <c r="F101" s="38">
        <v>150000</v>
      </c>
    </row>
    <row r="102" spans="2:6" ht="14.4" x14ac:dyDescent="0.3">
      <c r="B102" s="31">
        <f t="shared" si="0"/>
        <v>91</v>
      </c>
      <c r="C102" s="33" t="s">
        <v>235</v>
      </c>
      <c r="D102" s="40" t="b">
        <v>1</v>
      </c>
      <c r="E102" s="41">
        <v>45985</v>
      </c>
      <c r="F102" s="38">
        <v>150000</v>
      </c>
    </row>
    <row r="103" spans="2:6" ht="14.4" x14ac:dyDescent="0.3">
      <c r="B103" s="31">
        <f t="shared" si="0"/>
        <v>92</v>
      </c>
      <c r="C103" s="33" t="s">
        <v>236</v>
      </c>
      <c r="D103" s="40" t="b">
        <v>1</v>
      </c>
      <c r="E103" s="41">
        <v>45985</v>
      </c>
      <c r="F103" s="38">
        <v>150000</v>
      </c>
    </row>
    <row r="104" spans="2:6" ht="14.4" x14ac:dyDescent="0.3">
      <c r="B104" s="31">
        <f t="shared" si="0"/>
        <v>93</v>
      </c>
      <c r="C104" s="33" t="s">
        <v>237</v>
      </c>
      <c r="D104" s="40" t="b">
        <v>1</v>
      </c>
      <c r="E104" s="41">
        <v>45983</v>
      </c>
      <c r="F104" s="38">
        <v>150000</v>
      </c>
    </row>
    <row r="105" spans="2:6" ht="14.4" x14ac:dyDescent="0.3">
      <c r="B105" s="31">
        <f t="shared" si="0"/>
        <v>94</v>
      </c>
      <c r="C105" s="33" t="s">
        <v>238</v>
      </c>
      <c r="D105" s="40" t="b">
        <v>1</v>
      </c>
      <c r="E105" s="41">
        <v>45985</v>
      </c>
      <c r="F105" s="38">
        <v>150000</v>
      </c>
    </row>
    <row r="106" spans="2:6" ht="14.4" x14ac:dyDescent="0.3">
      <c r="B106" s="31">
        <f t="shared" si="0"/>
        <v>95</v>
      </c>
      <c r="C106" s="33" t="s">
        <v>239</v>
      </c>
      <c r="D106" s="40" t="b">
        <v>1</v>
      </c>
      <c r="E106" s="41">
        <v>45985</v>
      </c>
      <c r="F106" s="38">
        <v>150000</v>
      </c>
    </row>
    <row r="107" spans="2:6" ht="14.4" x14ac:dyDescent="0.3">
      <c r="B107" s="31">
        <f t="shared" si="0"/>
        <v>96</v>
      </c>
      <c r="C107" s="33" t="s">
        <v>240</v>
      </c>
      <c r="D107" s="40" t="b">
        <v>1</v>
      </c>
      <c r="E107" s="41">
        <v>45985</v>
      </c>
      <c r="F107" s="38">
        <v>150000</v>
      </c>
    </row>
    <row r="108" spans="2:6" ht="14.4" x14ac:dyDescent="0.3">
      <c r="B108" s="31">
        <f t="shared" si="0"/>
        <v>97</v>
      </c>
      <c r="C108" s="33" t="s">
        <v>241</v>
      </c>
      <c r="D108" s="40" t="b">
        <v>1</v>
      </c>
      <c r="E108" s="41">
        <v>45984</v>
      </c>
      <c r="F108" s="38">
        <v>150000</v>
      </c>
    </row>
    <row r="109" spans="2:6" ht="14.4" x14ac:dyDescent="0.3">
      <c r="B109" s="31">
        <f t="shared" si="0"/>
        <v>98</v>
      </c>
      <c r="C109" s="33" t="s">
        <v>242</v>
      </c>
      <c r="D109" s="40" t="b">
        <v>1</v>
      </c>
      <c r="E109" s="41">
        <v>45984</v>
      </c>
      <c r="F109" s="38">
        <v>150000</v>
      </c>
    </row>
    <row r="110" spans="2:6" ht="14.4" x14ac:dyDescent="0.3">
      <c r="B110" s="31">
        <f t="shared" si="0"/>
        <v>99</v>
      </c>
      <c r="C110" s="33" t="s">
        <v>243</v>
      </c>
      <c r="D110" s="40" t="b">
        <v>1</v>
      </c>
      <c r="E110" s="41">
        <v>45985</v>
      </c>
      <c r="F110" s="38">
        <v>150000</v>
      </c>
    </row>
    <row r="111" spans="2:6" ht="14.4" x14ac:dyDescent="0.3">
      <c r="B111" s="31">
        <f t="shared" si="0"/>
        <v>100</v>
      </c>
      <c r="C111" s="33" t="s">
        <v>244</v>
      </c>
      <c r="D111" s="40" t="b">
        <v>1</v>
      </c>
      <c r="E111" s="41">
        <v>45985</v>
      </c>
      <c r="F111" s="38">
        <v>150000</v>
      </c>
    </row>
    <row r="112" spans="2:6" ht="14.4" x14ac:dyDescent="0.3">
      <c r="B112" s="55">
        <f t="shared" si="0"/>
        <v>101</v>
      </c>
      <c r="C112" s="56" t="s">
        <v>245</v>
      </c>
      <c r="D112" s="40" t="b">
        <v>1</v>
      </c>
      <c r="E112" s="41">
        <v>45985</v>
      </c>
      <c r="F112" s="38">
        <v>150000</v>
      </c>
    </row>
    <row r="113" spans="2:6" ht="14.4" x14ac:dyDescent="0.3">
      <c r="B113" s="31">
        <f t="shared" si="0"/>
        <v>102</v>
      </c>
      <c r="C113" s="33" t="s">
        <v>246</v>
      </c>
      <c r="D113" s="40" t="b">
        <v>1</v>
      </c>
      <c r="E113" s="41">
        <v>45985</v>
      </c>
      <c r="F113" s="38">
        <v>150000</v>
      </c>
    </row>
    <row r="114" spans="2:6" ht="14.4" x14ac:dyDescent="0.3">
      <c r="B114" s="31">
        <f t="shared" si="0"/>
        <v>103</v>
      </c>
      <c r="C114" s="33" t="s">
        <v>247</v>
      </c>
      <c r="D114" s="40" t="b">
        <v>1</v>
      </c>
      <c r="E114" s="41">
        <v>45985</v>
      </c>
      <c r="F114" s="38">
        <v>150000</v>
      </c>
    </row>
    <row r="115" spans="2:6" ht="14.4" x14ac:dyDescent="0.3">
      <c r="B115" s="31">
        <f t="shared" si="0"/>
        <v>104</v>
      </c>
      <c r="C115" s="33" t="s">
        <v>248</v>
      </c>
      <c r="D115" s="40" t="b">
        <v>1</v>
      </c>
      <c r="E115" s="41">
        <v>45985</v>
      </c>
      <c r="F115" s="38">
        <v>150000</v>
      </c>
    </row>
    <row r="116" spans="2:6" ht="14.4" x14ac:dyDescent="0.3">
      <c r="B116" s="31">
        <f t="shared" si="0"/>
        <v>105</v>
      </c>
      <c r="C116" s="33" t="s">
        <v>249</v>
      </c>
      <c r="D116" s="40" t="b">
        <v>1</v>
      </c>
      <c r="E116" s="41">
        <v>45985</v>
      </c>
      <c r="F116" s="38">
        <v>150000</v>
      </c>
    </row>
    <row r="117" spans="2:6" ht="14.4" x14ac:dyDescent="0.3">
      <c r="B117" s="31">
        <f t="shared" si="0"/>
        <v>106</v>
      </c>
      <c r="C117" s="33" t="s">
        <v>250</v>
      </c>
      <c r="D117" s="40" t="b">
        <v>1</v>
      </c>
      <c r="E117" s="41">
        <v>45985</v>
      </c>
      <c r="F117" s="38">
        <v>150000</v>
      </c>
    </row>
    <row r="118" spans="2:6" ht="14.4" x14ac:dyDescent="0.3">
      <c r="B118" s="31">
        <f t="shared" si="0"/>
        <v>107</v>
      </c>
      <c r="C118" s="33" t="s">
        <v>251</v>
      </c>
      <c r="D118" s="40" t="b">
        <v>1</v>
      </c>
      <c r="E118" s="41">
        <v>45982</v>
      </c>
      <c r="F118" s="38">
        <v>150000</v>
      </c>
    </row>
    <row r="119" spans="2:6" ht="14.4" x14ac:dyDescent="0.3">
      <c r="B119" s="31">
        <f t="shared" si="0"/>
        <v>108</v>
      </c>
      <c r="C119" s="33" t="s">
        <v>252</v>
      </c>
      <c r="D119" s="40" t="b">
        <v>1</v>
      </c>
      <c r="E119" s="41">
        <v>45985</v>
      </c>
      <c r="F119" s="38">
        <v>150000</v>
      </c>
    </row>
    <row r="120" spans="2:6" ht="14.4" x14ac:dyDescent="0.3">
      <c r="B120" s="31">
        <f t="shared" si="0"/>
        <v>109</v>
      </c>
      <c r="C120" s="33" t="s">
        <v>253</v>
      </c>
      <c r="D120" s="40" t="b">
        <v>1</v>
      </c>
      <c r="E120" s="41">
        <v>45985</v>
      </c>
      <c r="F120" s="38">
        <v>150000</v>
      </c>
    </row>
    <row r="121" spans="2:6" ht="14.4" x14ac:dyDescent="0.3">
      <c r="B121" s="31">
        <f t="shared" si="0"/>
        <v>110</v>
      </c>
      <c r="C121" s="33" t="s">
        <v>254</v>
      </c>
      <c r="D121" s="40" t="b">
        <v>1</v>
      </c>
      <c r="E121" s="41">
        <v>45985</v>
      </c>
      <c r="F121" s="38">
        <v>150000</v>
      </c>
    </row>
    <row r="122" spans="2:6" ht="14.4" x14ac:dyDescent="0.3">
      <c r="B122" s="31">
        <f t="shared" si="0"/>
        <v>111</v>
      </c>
      <c r="C122" s="33" t="s">
        <v>255</v>
      </c>
      <c r="D122" s="40" t="b">
        <v>1</v>
      </c>
      <c r="E122" s="41">
        <v>45985</v>
      </c>
      <c r="F122" s="38">
        <v>150000</v>
      </c>
    </row>
    <row r="123" spans="2:6" ht="14.4" x14ac:dyDescent="0.3">
      <c r="B123" s="31">
        <f t="shared" si="0"/>
        <v>112</v>
      </c>
      <c r="C123" s="33" t="s">
        <v>256</v>
      </c>
      <c r="D123" s="40" t="b">
        <v>1</v>
      </c>
      <c r="E123" s="41">
        <v>45985</v>
      </c>
      <c r="F123" s="38">
        <v>150000</v>
      </c>
    </row>
    <row r="124" spans="2:6" ht="14.4" x14ac:dyDescent="0.3">
      <c r="B124" s="31">
        <f t="shared" si="0"/>
        <v>113</v>
      </c>
      <c r="C124" s="33" t="s">
        <v>257</v>
      </c>
      <c r="D124" s="40" t="b">
        <v>1</v>
      </c>
      <c r="E124" s="41">
        <v>45985</v>
      </c>
      <c r="F124" s="38">
        <v>150000</v>
      </c>
    </row>
    <row r="125" spans="2:6" ht="14.4" x14ac:dyDescent="0.3">
      <c r="B125" s="31">
        <f t="shared" si="0"/>
        <v>114</v>
      </c>
      <c r="C125" s="33" t="s">
        <v>258</v>
      </c>
      <c r="D125" s="40" t="b">
        <v>1</v>
      </c>
      <c r="E125" s="41">
        <v>45985</v>
      </c>
      <c r="F125" s="38">
        <v>150000</v>
      </c>
    </row>
    <row r="126" spans="2:6" ht="14.4" x14ac:dyDescent="0.3">
      <c r="B126" s="31">
        <f t="shared" si="0"/>
        <v>115</v>
      </c>
      <c r="C126" s="33" t="s">
        <v>259</v>
      </c>
      <c r="D126" s="40" t="b">
        <v>1</v>
      </c>
      <c r="E126" s="41">
        <v>45985</v>
      </c>
      <c r="F126" s="38">
        <v>150000</v>
      </c>
    </row>
    <row r="127" spans="2:6" ht="14.4" x14ac:dyDescent="0.3">
      <c r="B127" s="31">
        <f t="shared" si="0"/>
        <v>116</v>
      </c>
      <c r="C127" s="33" t="s">
        <v>260</v>
      </c>
      <c r="D127" s="40" t="b">
        <v>1</v>
      </c>
      <c r="E127" s="41">
        <v>45985</v>
      </c>
      <c r="F127" s="38">
        <v>150000</v>
      </c>
    </row>
    <row r="128" spans="2:6" ht="14.4" x14ac:dyDescent="0.3">
      <c r="B128" s="31">
        <f t="shared" si="0"/>
        <v>117</v>
      </c>
      <c r="C128" s="33" t="s">
        <v>261</v>
      </c>
      <c r="D128" s="40" t="b">
        <v>1</v>
      </c>
      <c r="E128" s="41">
        <v>45985</v>
      </c>
      <c r="F128" s="38">
        <v>150000</v>
      </c>
    </row>
    <row r="129" spans="2:6" ht="14.4" x14ac:dyDescent="0.3">
      <c r="B129" s="31">
        <f t="shared" si="0"/>
        <v>118</v>
      </c>
      <c r="C129" s="33" t="s">
        <v>262</v>
      </c>
      <c r="D129" s="40" t="b">
        <v>1</v>
      </c>
      <c r="E129" s="41">
        <v>45985</v>
      </c>
      <c r="F129" s="38">
        <v>150000</v>
      </c>
    </row>
    <row r="130" spans="2:6" ht="14.4" x14ac:dyDescent="0.3">
      <c r="B130" s="31">
        <f t="shared" si="0"/>
        <v>119</v>
      </c>
      <c r="C130" s="33" t="s">
        <v>263</v>
      </c>
      <c r="D130" s="40" t="b">
        <v>1</v>
      </c>
      <c r="E130" s="41">
        <v>45985</v>
      </c>
      <c r="F130" s="38">
        <v>150000</v>
      </c>
    </row>
    <row r="131" spans="2:6" ht="14.4" x14ac:dyDescent="0.3">
      <c r="B131" s="31">
        <f t="shared" si="0"/>
        <v>120</v>
      </c>
      <c r="C131" s="33" t="s">
        <v>264</v>
      </c>
      <c r="D131" s="40" t="b">
        <v>1</v>
      </c>
      <c r="E131" s="41">
        <v>45985</v>
      </c>
      <c r="F131" s="38">
        <v>150000</v>
      </c>
    </row>
    <row r="132" spans="2:6" ht="14.4" x14ac:dyDescent="0.3">
      <c r="B132" s="31">
        <f t="shared" si="0"/>
        <v>121</v>
      </c>
      <c r="C132" s="33" t="s">
        <v>265</v>
      </c>
      <c r="D132" s="40" t="b">
        <v>1</v>
      </c>
      <c r="E132" s="41">
        <v>45985</v>
      </c>
      <c r="F132" s="38">
        <v>150000</v>
      </c>
    </row>
    <row r="133" spans="2:6" ht="14.4" x14ac:dyDescent="0.3">
      <c r="B133" s="31">
        <f t="shared" si="0"/>
        <v>122</v>
      </c>
      <c r="C133" s="33" t="s">
        <v>266</v>
      </c>
      <c r="D133" s="40" t="b">
        <v>1</v>
      </c>
      <c r="E133" s="41">
        <v>45985</v>
      </c>
      <c r="F133" s="38">
        <v>150000</v>
      </c>
    </row>
    <row r="134" spans="2:6" ht="14.4" x14ac:dyDescent="0.3">
      <c r="B134" s="31">
        <f t="shared" si="0"/>
        <v>123</v>
      </c>
      <c r="C134" s="33" t="s">
        <v>267</v>
      </c>
      <c r="D134" s="40" t="b">
        <v>1</v>
      </c>
      <c r="E134" s="41">
        <v>45985</v>
      </c>
      <c r="F134" s="38">
        <v>150000</v>
      </c>
    </row>
    <row r="135" spans="2:6" ht="14.4" x14ac:dyDescent="0.3">
      <c r="B135" s="55">
        <f t="shared" si="0"/>
        <v>124</v>
      </c>
      <c r="C135" s="58" t="s">
        <v>268</v>
      </c>
      <c r="D135" s="40" t="b">
        <v>1</v>
      </c>
      <c r="E135" s="41">
        <v>45985</v>
      </c>
      <c r="F135" s="38">
        <v>150000</v>
      </c>
    </row>
    <row r="136" spans="2:6" ht="13.8" x14ac:dyDescent="0.25">
      <c r="B136" s="31">
        <f t="shared" si="0"/>
        <v>125</v>
      </c>
      <c r="C136" s="58" t="s">
        <v>269</v>
      </c>
      <c r="D136" s="18" t="b">
        <v>1</v>
      </c>
      <c r="E136" s="41">
        <v>45985</v>
      </c>
      <c r="F136" s="38">
        <v>150000</v>
      </c>
    </row>
    <row r="137" spans="2:6" ht="13.8" x14ac:dyDescent="0.25">
      <c r="B137" s="55">
        <f t="shared" si="0"/>
        <v>126</v>
      </c>
      <c r="C137" s="58" t="s">
        <v>270</v>
      </c>
      <c r="D137" s="58" t="b">
        <v>1</v>
      </c>
      <c r="E137" s="41">
        <v>45985</v>
      </c>
      <c r="F137" s="60">
        <v>150000</v>
      </c>
    </row>
    <row r="138" spans="2:6" ht="13.8" x14ac:dyDescent="0.25">
      <c r="B138" s="31">
        <f t="shared" si="0"/>
        <v>127</v>
      </c>
      <c r="C138" s="58" t="s">
        <v>271</v>
      </c>
      <c r="D138" s="58" t="b">
        <v>1</v>
      </c>
      <c r="E138" s="41">
        <v>45985</v>
      </c>
      <c r="F138" s="60">
        <v>150000</v>
      </c>
    </row>
    <row r="139" spans="2:6" ht="13.8" x14ac:dyDescent="0.25">
      <c r="B139" s="31">
        <f t="shared" si="0"/>
        <v>128</v>
      </c>
      <c r="C139" s="61" t="s">
        <v>272</v>
      </c>
      <c r="D139" s="58" t="b">
        <v>1</v>
      </c>
      <c r="E139" s="41">
        <v>45985</v>
      </c>
      <c r="F139" s="60">
        <v>150000</v>
      </c>
    </row>
    <row r="140" spans="2:6" ht="13.8" x14ac:dyDescent="0.25">
      <c r="B140" s="31">
        <f t="shared" si="0"/>
        <v>129</v>
      </c>
      <c r="C140" s="61" t="s">
        <v>273</v>
      </c>
      <c r="D140" s="58" t="b">
        <v>1</v>
      </c>
      <c r="E140" s="41">
        <v>45985</v>
      </c>
      <c r="F140" s="60">
        <v>150000</v>
      </c>
    </row>
    <row r="141" spans="2:6" ht="13.8" x14ac:dyDescent="0.25">
      <c r="B141" s="31">
        <f t="shared" si="0"/>
        <v>130</v>
      </c>
      <c r="C141" s="61" t="s">
        <v>274</v>
      </c>
      <c r="D141" s="58" t="b">
        <v>1</v>
      </c>
      <c r="E141" s="41">
        <v>45985</v>
      </c>
      <c r="F141" s="60">
        <v>150000</v>
      </c>
    </row>
    <row r="142" spans="2:6" ht="13.8" x14ac:dyDescent="0.25">
      <c r="B142" s="31">
        <f t="shared" si="0"/>
        <v>131</v>
      </c>
      <c r="C142" s="61" t="s">
        <v>275</v>
      </c>
      <c r="D142" s="58" t="b">
        <v>1</v>
      </c>
      <c r="E142" s="41">
        <v>45985</v>
      </c>
      <c r="F142" s="60">
        <v>150000</v>
      </c>
    </row>
    <row r="143" spans="2:6" ht="13.8" x14ac:dyDescent="0.25">
      <c r="B143" s="31">
        <f t="shared" si="0"/>
        <v>132</v>
      </c>
      <c r="C143" s="61" t="s">
        <v>276</v>
      </c>
      <c r="D143" s="58" t="b">
        <v>1</v>
      </c>
      <c r="E143" s="41">
        <v>45985</v>
      </c>
      <c r="F143" s="60">
        <v>150000</v>
      </c>
    </row>
    <row r="144" spans="2:6" ht="13.8" x14ac:dyDescent="0.25">
      <c r="B144" s="31">
        <f t="shared" si="0"/>
        <v>133</v>
      </c>
      <c r="C144" s="61" t="s">
        <v>277</v>
      </c>
      <c r="D144" s="58" t="b">
        <v>1</v>
      </c>
      <c r="E144" s="41">
        <v>45985</v>
      </c>
      <c r="F144" s="60">
        <v>150000</v>
      </c>
    </row>
    <row r="145" spans="2:6" ht="13.8" x14ac:dyDescent="0.25">
      <c r="B145" s="31">
        <f t="shared" si="0"/>
        <v>134</v>
      </c>
      <c r="C145" s="61" t="s">
        <v>278</v>
      </c>
      <c r="D145" s="58" t="b">
        <v>1</v>
      </c>
      <c r="E145" s="41">
        <v>45984</v>
      </c>
      <c r="F145" s="60">
        <v>150000</v>
      </c>
    </row>
    <row r="146" spans="2:6" ht="13.8" x14ac:dyDescent="0.25">
      <c r="B146" s="31">
        <f t="shared" si="0"/>
        <v>135</v>
      </c>
      <c r="C146" s="61" t="s">
        <v>279</v>
      </c>
      <c r="D146" s="58" t="b">
        <v>1</v>
      </c>
      <c r="E146" s="41">
        <v>45984</v>
      </c>
      <c r="F146" s="60">
        <v>150000</v>
      </c>
    </row>
    <row r="147" spans="2:6" ht="13.8" x14ac:dyDescent="0.25">
      <c r="B147" s="31">
        <f t="shared" si="0"/>
        <v>136</v>
      </c>
      <c r="C147" s="61" t="s">
        <v>280</v>
      </c>
      <c r="D147" s="58" t="b">
        <v>1</v>
      </c>
      <c r="E147" s="41">
        <v>45985</v>
      </c>
      <c r="F147" s="60">
        <v>150000</v>
      </c>
    </row>
    <row r="148" spans="2:6" ht="13.8" x14ac:dyDescent="0.25">
      <c r="B148" s="31">
        <f t="shared" si="0"/>
        <v>137</v>
      </c>
      <c r="C148" s="61" t="s">
        <v>281</v>
      </c>
      <c r="D148" s="58" t="b">
        <v>1</v>
      </c>
      <c r="E148" s="41">
        <v>45984</v>
      </c>
      <c r="F148" s="60">
        <v>150000</v>
      </c>
    </row>
    <row r="149" spans="2:6" ht="13.8" x14ac:dyDescent="0.25">
      <c r="B149" s="31">
        <f t="shared" si="0"/>
        <v>138</v>
      </c>
      <c r="C149" s="61" t="s">
        <v>282</v>
      </c>
      <c r="D149" s="58" t="b">
        <v>1</v>
      </c>
      <c r="E149" s="41">
        <v>45985</v>
      </c>
      <c r="F149" s="60">
        <v>150000</v>
      </c>
    </row>
    <row r="150" spans="2:6" ht="13.8" x14ac:dyDescent="0.25">
      <c r="B150" s="31">
        <f t="shared" si="0"/>
        <v>139</v>
      </c>
      <c r="C150" s="61" t="s">
        <v>283</v>
      </c>
      <c r="D150" s="58" t="b">
        <v>1</v>
      </c>
      <c r="E150" s="41">
        <v>45984</v>
      </c>
      <c r="F150" s="60">
        <v>150000</v>
      </c>
    </row>
    <row r="151" spans="2:6" ht="13.8" x14ac:dyDescent="0.25">
      <c r="B151" s="55">
        <f t="shared" si="0"/>
        <v>140</v>
      </c>
      <c r="C151" s="58" t="s">
        <v>284</v>
      </c>
      <c r="D151" s="58" t="b">
        <v>1</v>
      </c>
      <c r="E151" s="41">
        <v>45991</v>
      </c>
      <c r="F151" s="60">
        <v>150000</v>
      </c>
    </row>
    <row r="152" spans="2:6" ht="13.8" x14ac:dyDescent="0.25">
      <c r="B152" s="31">
        <f t="shared" si="0"/>
        <v>141</v>
      </c>
      <c r="C152" s="61" t="s">
        <v>285</v>
      </c>
      <c r="D152" s="58" t="b">
        <v>1</v>
      </c>
      <c r="E152" s="41">
        <v>45985</v>
      </c>
      <c r="F152" s="60">
        <v>150000</v>
      </c>
    </row>
    <row r="153" spans="2:6" ht="13.8" x14ac:dyDescent="0.25">
      <c r="B153" s="31">
        <f t="shared" si="0"/>
        <v>142</v>
      </c>
      <c r="C153" s="61" t="s">
        <v>286</v>
      </c>
      <c r="D153" s="58" t="b">
        <v>1</v>
      </c>
      <c r="E153" s="41">
        <v>45985</v>
      </c>
      <c r="F153" s="60">
        <v>150000</v>
      </c>
    </row>
    <row r="154" spans="2:6" ht="13.8" x14ac:dyDescent="0.25">
      <c r="B154" s="55">
        <f t="shared" si="0"/>
        <v>143</v>
      </c>
      <c r="C154" s="58" t="s">
        <v>287</v>
      </c>
      <c r="D154" s="58" t="b">
        <v>1</v>
      </c>
      <c r="E154" s="41">
        <v>45985</v>
      </c>
      <c r="F154" s="60">
        <v>150000</v>
      </c>
    </row>
    <row r="155" spans="2:6" ht="13.8" x14ac:dyDescent="0.25">
      <c r="B155" s="31">
        <f t="shared" si="0"/>
        <v>144</v>
      </c>
      <c r="C155" s="61" t="s">
        <v>288</v>
      </c>
      <c r="D155" s="58" t="b">
        <v>1</v>
      </c>
      <c r="E155" s="41">
        <v>45985</v>
      </c>
      <c r="F155" s="60">
        <v>150000</v>
      </c>
    </row>
    <row r="156" spans="2:6" ht="13.8" x14ac:dyDescent="0.25">
      <c r="B156" s="31">
        <f t="shared" si="0"/>
        <v>145</v>
      </c>
      <c r="C156" s="61" t="s">
        <v>289</v>
      </c>
      <c r="D156" s="58" t="b">
        <v>1</v>
      </c>
      <c r="E156" s="41">
        <v>45985</v>
      </c>
      <c r="F156" s="60">
        <v>150000</v>
      </c>
    </row>
    <row r="157" spans="2:6" ht="13.8" x14ac:dyDescent="0.25">
      <c r="B157" s="31">
        <f t="shared" si="0"/>
        <v>146</v>
      </c>
      <c r="C157" s="61" t="s">
        <v>290</v>
      </c>
      <c r="D157" s="58" t="b">
        <v>1</v>
      </c>
      <c r="E157" s="41">
        <v>45985</v>
      </c>
      <c r="F157" s="60">
        <v>150000</v>
      </c>
    </row>
    <row r="158" spans="2:6" ht="13.8" x14ac:dyDescent="0.25">
      <c r="B158" s="31">
        <f t="shared" si="0"/>
        <v>147</v>
      </c>
      <c r="C158" s="61" t="s">
        <v>291</v>
      </c>
      <c r="D158" s="58" t="b">
        <v>1</v>
      </c>
      <c r="E158" s="41">
        <v>45985</v>
      </c>
      <c r="F158" s="60">
        <v>150000</v>
      </c>
    </row>
    <row r="159" spans="2:6" ht="13.8" x14ac:dyDescent="0.25">
      <c r="B159" s="31">
        <f t="shared" si="0"/>
        <v>148</v>
      </c>
      <c r="C159" s="61" t="s">
        <v>292</v>
      </c>
      <c r="D159" s="58" t="b">
        <v>1</v>
      </c>
      <c r="E159" s="41">
        <v>45985</v>
      </c>
      <c r="F159" s="60">
        <v>150000</v>
      </c>
    </row>
    <row r="160" spans="2:6" ht="13.8" x14ac:dyDescent="0.25">
      <c r="B160" s="31">
        <f t="shared" si="0"/>
        <v>149</v>
      </c>
      <c r="C160" s="61" t="s">
        <v>293</v>
      </c>
      <c r="D160" s="58" t="b">
        <v>1</v>
      </c>
      <c r="E160" s="41">
        <v>45985</v>
      </c>
      <c r="F160" s="60">
        <v>150000</v>
      </c>
    </row>
    <row r="161" spans="2:6" ht="13.8" x14ac:dyDescent="0.25">
      <c r="B161" s="31">
        <f t="shared" si="0"/>
        <v>150</v>
      </c>
      <c r="C161" s="61" t="s">
        <v>294</v>
      </c>
      <c r="D161" s="58" t="b">
        <v>1</v>
      </c>
      <c r="E161" s="41">
        <v>45985</v>
      </c>
      <c r="F161" s="60">
        <v>150000</v>
      </c>
    </row>
    <row r="162" spans="2:6" ht="13.8" x14ac:dyDescent="0.25">
      <c r="B162" s="31">
        <f t="shared" si="0"/>
        <v>151</v>
      </c>
      <c r="C162" s="61" t="s">
        <v>295</v>
      </c>
      <c r="D162" s="58" t="b">
        <v>1</v>
      </c>
      <c r="E162" s="41">
        <v>45985</v>
      </c>
      <c r="F162" s="60">
        <v>150000</v>
      </c>
    </row>
    <row r="163" spans="2:6" ht="13.8" x14ac:dyDescent="0.25">
      <c r="B163" s="31">
        <f t="shared" si="0"/>
        <v>152</v>
      </c>
      <c r="C163" s="62" t="s">
        <v>296</v>
      </c>
      <c r="D163" s="58" t="b">
        <v>1</v>
      </c>
      <c r="E163" s="41">
        <v>45986</v>
      </c>
      <c r="F163" s="60">
        <v>150000</v>
      </c>
    </row>
    <row r="164" spans="2:6" ht="13.8" x14ac:dyDescent="0.25">
      <c r="B164" s="31">
        <f t="shared" si="0"/>
        <v>153</v>
      </c>
      <c r="C164" s="62" t="s">
        <v>297</v>
      </c>
      <c r="D164" s="58" t="b">
        <v>1</v>
      </c>
      <c r="E164" s="41">
        <v>45986</v>
      </c>
      <c r="F164" s="60">
        <v>150000</v>
      </c>
    </row>
    <row r="165" spans="2:6" ht="13.8" x14ac:dyDescent="0.25">
      <c r="B165" s="55">
        <f t="shared" si="0"/>
        <v>154</v>
      </c>
      <c r="C165" s="58" t="s">
        <v>298</v>
      </c>
      <c r="D165" s="58" t="b">
        <v>1</v>
      </c>
      <c r="E165" s="41">
        <v>45986</v>
      </c>
      <c r="F165" s="60">
        <v>150000</v>
      </c>
    </row>
    <row r="166" spans="2:6" ht="13.8" x14ac:dyDescent="0.25">
      <c r="B166" s="31">
        <f t="shared" si="0"/>
        <v>155</v>
      </c>
      <c r="C166" s="58" t="s">
        <v>299</v>
      </c>
      <c r="D166" s="58" t="b">
        <v>1</v>
      </c>
      <c r="E166" s="41">
        <v>45986</v>
      </c>
      <c r="F166" s="60">
        <v>150000</v>
      </c>
    </row>
    <row r="167" spans="2:6" ht="13.8" x14ac:dyDescent="0.25">
      <c r="B167" s="31">
        <f t="shared" si="0"/>
        <v>156</v>
      </c>
      <c r="C167" s="58" t="s">
        <v>300</v>
      </c>
      <c r="D167" s="58" t="b">
        <v>1</v>
      </c>
      <c r="E167" s="41">
        <v>45986</v>
      </c>
      <c r="F167" s="60">
        <v>150000</v>
      </c>
    </row>
    <row r="168" spans="2:6" ht="13.2" x14ac:dyDescent="0.25">
      <c r="B168" s="72" t="s">
        <v>16</v>
      </c>
      <c r="C168" s="65"/>
      <c r="D168" s="65"/>
      <c r="E168" s="66"/>
      <c r="F168" s="63">
        <f>SUM(F12:F167)</f>
        <v>23400000</v>
      </c>
    </row>
  </sheetData>
  <mergeCells count="4">
    <mergeCell ref="B6:C6"/>
    <mergeCell ref="G8:J8"/>
    <mergeCell ref="C9:E9"/>
    <mergeCell ref="B168:E168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C3:H42"/>
  <sheetViews>
    <sheetView workbookViewId="0"/>
  </sheetViews>
  <sheetFormatPr defaultColWidth="12.6640625" defaultRowHeight="15.75" customHeight="1" x14ac:dyDescent="0.25"/>
  <cols>
    <col min="3" max="3" width="25.33203125" customWidth="1"/>
    <col min="4" max="4" width="25.21875" customWidth="1"/>
    <col min="5" max="5" width="25.88671875" customWidth="1"/>
    <col min="6" max="6" width="25.21875" customWidth="1"/>
    <col min="7" max="7" width="26.21875" customWidth="1"/>
    <col min="8" max="8" width="25.21875" customWidth="1"/>
  </cols>
  <sheetData>
    <row r="3" spans="3:8" ht="15.75" customHeight="1" x14ac:dyDescent="0.3"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3" t="s">
        <v>6</v>
      </c>
    </row>
    <row r="4" spans="3:8" x14ac:dyDescent="0.25">
      <c r="C4" s="4">
        <v>1</v>
      </c>
      <c r="D4" s="5">
        <v>45986</v>
      </c>
      <c r="E4" s="4" t="s">
        <v>9</v>
      </c>
      <c r="F4" s="7"/>
      <c r="G4" s="8"/>
      <c r="H4" s="9">
        <v>23400000</v>
      </c>
    </row>
    <row r="5" spans="3:8" x14ac:dyDescent="0.25">
      <c r="C5" s="4">
        <v>2</v>
      </c>
      <c r="D5" s="5"/>
      <c r="E5" s="4" t="s">
        <v>15</v>
      </c>
      <c r="F5" s="7"/>
      <c r="G5" s="8"/>
      <c r="H5" s="9">
        <v>2600000</v>
      </c>
    </row>
    <row r="6" spans="3:8" x14ac:dyDescent="0.25">
      <c r="C6" s="67" t="s">
        <v>16</v>
      </c>
      <c r="D6" s="65"/>
      <c r="E6" s="65"/>
      <c r="F6" s="65"/>
      <c r="G6" s="66"/>
      <c r="H6" s="9">
        <f>SUM(H4:H5)</f>
        <v>26000000</v>
      </c>
    </row>
    <row r="7" spans="3:8" x14ac:dyDescent="0.25">
      <c r="C7" s="4">
        <v>3</v>
      </c>
      <c r="D7" s="5">
        <v>45981</v>
      </c>
      <c r="E7" s="4" t="s">
        <v>21</v>
      </c>
      <c r="F7" s="4" t="s">
        <v>22</v>
      </c>
      <c r="G7" s="12">
        <v>500000</v>
      </c>
      <c r="H7" s="9">
        <f t="shared" ref="H7:H41" si="0">H6-G7</f>
        <v>25500000</v>
      </c>
    </row>
    <row r="8" spans="3:8" x14ac:dyDescent="0.25">
      <c r="C8" s="4">
        <v>4</v>
      </c>
      <c r="D8" s="5">
        <v>45986</v>
      </c>
      <c r="E8" s="4" t="s">
        <v>27</v>
      </c>
      <c r="F8" s="4" t="s">
        <v>28</v>
      </c>
      <c r="G8" s="12">
        <v>93750</v>
      </c>
      <c r="H8" s="9">
        <f t="shared" si="0"/>
        <v>25406250</v>
      </c>
    </row>
    <row r="9" spans="3:8" x14ac:dyDescent="0.25">
      <c r="C9" s="4">
        <v>5</v>
      </c>
      <c r="D9" s="5">
        <v>45987</v>
      </c>
      <c r="E9" s="4" t="s">
        <v>31</v>
      </c>
      <c r="F9" s="4" t="s">
        <v>32</v>
      </c>
      <c r="G9" s="12">
        <v>8000</v>
      </c>
      <c r="H9" s="12">
        <f t="shared" si="0"/>
        <v>25398250</v>
      </c>
    </row>
    <row r="10" spans="3:8" x14ac:dyDescent="0.25">
      <c r="C10" s="20">
        <v>6</v>
      </c>
      <c r="D10" s="22">
        <v>45987</v>
      </c>
      <c r="E10" s="24" t="s">
        <v>35</v>
      </c>
      <c r="F10" s="20" t="s">
        <v>28</v>
      </c>
      <c r="G10" s="25">
        <v>98000</v>
      </c>
      <c r="H10" s="26">
        <f t="shared" si="0"/>
        <v>25300250</v>
      </c>
    </row>
    <row r="11" spans="3:8" x14ac:dyDescent="0.25">
      <c r="C11" s="4">
        <v>7</v>
      </c>
      <c r="D11" s="5">
        <v>45987</v>
      </c>
      <c r="E11" s="4" t="s">
        <v>37</v>
      </c>
      <c r="F11" s="4" t="s">
        <v>28</v>
      </c>
      <c r="G11" s="12">
        <v>5484000</v>
      </c>
      <c r="H11" s="9">
        <f t="shared" si="0"/>
        <v>19816250</v>
      </c>
    </row>
    <row r="12" spans="3:8" x14ac:dyDescent="0.25">
      <c r="C12" s="4">
        <v>8</v>
      </c>
      <c r="D12" s="5">
        <v>45988</v>
      </c>
      <c r="E12" s="4" t="s">
        <v>39</v>
      </c>
      <c r="F12" s="4" t="s">
        <v>33</v>
      </c>
      <c r="G12" s="12">
        <v>80000</v>
      </c>
      <c r="H12" s="9">
        <f t="shared" si="0"/>
        <v>19736250</v>
      </c>
    </row>
    <row r="13" spans="3:8" x14ac:dyDescent="0.25">
      <c r="C13" s="20">
        <v>9</v>
      </c>
      <c r="D13" s="22">
        <v>45989</v>
      </c>
      <c r="E13" s="24" t="s">
        <v>40</v>
      </c>
      <c r="F13" s="20" t="s">
        <v>33</v>
      </c>
      <c r="G13" s="25">
        <v>1878000</v>
      </c>
      <c r="H13" s="26">
        <f t="shared" si="0"/>
        <v>17858250</v>
      </c>
    </row>
    <row r="14" spans="3:8" x14ac:dyDescent="0.25">
      <c r="C14" s="4">
        <v>10</v>
      </c>
      <c r="D14" s="5">
        <v>45990</v>
      </c>
      <c r="E14" s="4" t="s">
        <v>43</v>
      </c>
      <c r="F14" s="4" t="s">
        <v>28</v>
      </c>
      <c r="G14" s="12">
        <v>252000</v>
      </c>
      <c r="H14" s="9">
        <f t="shared" si="0"/>
        <v>17606250</v>
      </c>
    </row>
    <row r="15" spans="3:8" x14ac:dyDescent="0.25">
      <c r="C15" s="4">
        <v>11</v>
      </c>
      <c r="D15" s="5">
        <v>45992</v>
      </c>
      <c r="E15" s="4" t="s">
        <v>44</v>
      </c>
      <c r="F15" s="4" t="s">
        <v>28</v>
      </c>
      <c r="G15" s="12">
        <v>2328000</v>
      </c>
      <c r="H15" s="9">
        <f t="shared" si="0"/>
        <v>15278250</v>
      </c>
    </row>
    <row r="16" spans="3:8" x14ac:dyDescent="0.25">
      <c r="C16" s="4">
        <v>12</v>
      </c>
      <c r="D16" s="5">
        <v>45992</v>
      </c>
      <c r="E16" s="4" t="s">
        <v>45</v>
      </c>
      <c r="F16" s="4" t="s">
        <v>33</v>
      </c>
      <c r="G16" s="12">
        <v>73300</v>
      </c>
      <c r="H16" s="9">
        <f t="shared" si="0"/>
        <v>15204950</v>
      </c>
    </row>
    <row r="17" spans="3:8" x14ac:dyDescent="0.25">
      <c r="C17" s="4">
        <v>13</v>
      </c>
      <c r="D17" s="5">
        <v>45996</v>
      </c>
      <c r="E17" s="4" t="s">
        <v>46</v>
      </c>
      <c r="F17" s="4" t="s">
        <v>33</v>
      </c>
      <c r="G17" s="12">
        <v>4362000</v>
      </c>
      <c r="H17" s="9">
        <f t="shared" si="0"/>
        <v>10842950</v>
      </c>
    </row>
    <row r="18" spans="3:8" x14ac:dyDescent="0.25">
      <c r="C18" s="4">
        <v>14</v>
      </c>
      <c r="D18" s="5">
        <v>45996</v>
      </c>
      <c r="E18" s="4" t="s">
        <v>49</v>
      </c>
      <c r="F18" s="4" t="s">
        <v>22</v>
      </c>
      <c r="G18" s="12">
        <v>3300000</v>
      </c>
      <c r="H18" s="9">
        <f t="shared" si="0"/>
        <v>7542950</v>
      </c>
    </row>
    <row r="19" spans="3:8" x14ac:dyDescent="0.25">
      <c r="C19" s="4">
        <v>15</v>
      </c>
      <c r="D19" s="5">
        <v>45997</v>
      </c>
      <c r="E19" s="4" t="s">
        <v>50</v>
      </c>
      <c r="F19" s="4" t="s">
        <v>22</v>
      </c>
      <c r="G19" s="12">
        <v>1600000</v>
      </c>
      <c r="H19" s="9">
        <f t="shared" si="0"/>
        <v>5942950</v>
      </c>
    </row>
    <row r="20" spans="3:8" x14ac:dyDescent="0.25">
      <c r="C20" s="4">
        <v>16</v>
      </c>
      <c r="D20" s="5">
        <v>45997</v>
      </c>
      <c r="E20" s="4" t="s">
        <v>54</v>
      </c>
      <c r="F20" s="4" t="s">
        <v>55</v>
      </c>
      <c r="G20" s="12">
        <v>120000</v>
      </c>
      <c r="H20" s="9">
        <f t="shared" si="0"/>
        <v>5822950</v>
      </c>
    </row>
    <row r="21" spans="3:8" x14ac:dyDescent="0.25">
      <c r="C21" s="4">
        <v>17</v>
      </c>
      <c r="D21" s="5">
        <v>45997</v>
      </c>
      <c r="E21" s="4" t="s">
        <v>59</v>
      </c>
      <c r="F21" s="4" t="s">
        <v>60</v>
      </c>
      <c r="G21" s="12">
        <v>30000</v>
      </c>
      <c r="H21" s="9">
        <f t="shared" si="0"/>
        <v>5792950</v>
      </c>
    </row>
    <row r="22" spans="3:8" x14ac:dyDescent="0.25">
      <c r="C22" s="4">
        <v>18</v>
      </c>
      <c r="D22" s="5">
        <v>45997</v>
      </c>
      <c r="E22" s="4" t="s">
        <v>61</v>
      </c>
      <c r="F22" s="4" t="s">
        <v>18</v>
      </c>
      <c r="G22" s="12">
        <v>25000</v>
      </c>
      <c r="H22" s="9">
        <f t="shared" si="0"/>
        <v>5767950</v>
      </c>
    </row>
    <row r="23" spans="3:8" x14ac:dyDescent="0.25">
      <c r="C23" s="4">
        <v>19</v>
      </c>
      <c r="D23" s="5">
        <v>45997</v>
      </c>
      <c r="E23" s="4" t="s">
        <v>63</v>
      </c>
      <c r="F23" s="4" t="s">
        <v>65</v>
      </c>
      <c r="G23" s="12">
        <v>16000</v>
      </c>
      <c r="H23" s="12">
        <f t="shared" si="0"/>
        <v>5751950</v>
      </c>
    </row>
    <row r="24" spans="3:8" x14ac:dyDescent="0.25">
      <c r="C24" s="4">
        <v>20</v>
      </c>
      <c r="D24" s="5">
        <v>45997</v>
      </c>
      <c r="E24" s="4" t="s">
        <v>67</v>
      </c>
      <c r="F24" s="4" t="s">
        <v>18</v>
      </c>
      <c r="G24" s="12">
        <v>77200</v>
      </c>
      <c r="H24" s="12">
        <f t="shared" si="0"/>
        <v>5674750</v>
      </c>
    </row>
    <row r="25" spans="3:8" x14ac:dyDescent="0.25">
      <c r="C25" s="4">
        <v>21</v>
      </c>
      <c r="D25" s="5">
        <v>45997</v>
      </c>
      <c r="E25" s="4" t="s">
        <v>69</v>
      </c>
      <c r="F25" s="4" t="s">
        <v>18</v>
      </c>
      <c r="G25" s="12">
        <v>127600</v>
      </c>
      <c r="H25" s="12">
        <f t="shared" si="0"/>
        <v>5547150</v>
      </c>
    </row>
    <row r="26" spans="3:8" x14ac:dyDescent="0.25">
      <c r="C26" s="4">
        <v>22</v>
      </c>
      <c r="D26" s="5">
        <v>45997</v>
      </c>
      <c r="E26" s="4" t="s">
        <v>71</v>
      </c>
      <c r="F26" s="4" t="s">
        <v>18</v>
      </c>
      <c r="G26" s="12">
        <v>28000</v>
      </c>
      <c r="H26" s="12">
        <f t="shared" si="0"/>
        <v>5519150</v>
      </c>
    </row>
    <row r="27" spans="3:8" ht="13.2" x14ac:dyDescent="0.25">
      <c r="C27" s="4">
        <v>23</v>
      </c>
      <c r="D27" s="5">
        <v>45997</v>
      </c>
      <c r="E27" s="4" t="s">
        <v>69</v>
      </c>
      <c r="F27" s="4" t="s">
        <v>18</v>
      </c>
      <c r="G27" s="12">
        <v>34760</v>
      </c>
      <c r="H27" s="12">
        <f t="shared" si="0"/>
        <v>5484390</v>
      </c>
    </row>
    <row r="28" spans="3:8" ht="13.2" x14ac:dyDescent="0.25">
      <c r="C28" s="4">
        <v>24</v>
      </c>
      <c r="D28" s="5">
        <v>45997</v>
      </c>
      <c r="E28" s="4" t="s">
        <v>69</v>
      </c>
      <c r="F28" s="4" t="s">
        <v>18</v>
      </c>
      <c r="G28" s="12">
        <v>17500</v>
      </c>
      <c r="H28" s="12">
        <f t="shared" si="0"/>
        <v>5466890</v>
      </c>
    </row>
    <row r="29" spans="3:8" ht="13.2" x14ac:dyDescent="0.25">
      <c r="C29" s="4">
        <v>25</v>
      </c>
      <c r="D29" s="5">
        <v>45997</v>
      </c>
      <c r="E29" s="4" t="s">
        <v>72</v>
      </c>
      <c r="F29" s="4" t="s">
        <v>60</v>
      </c>
      <c r="G29" s="12">
        <v>7000</v>
      </c>
      <c r="H29" s="12">
        <f t="shared" si="0"/>
        <v>5459890</v>
      </c>
    </row>
    <row r="30" spans="3:8" ht="13.2" x14ac:dyDescent="0.25">
      <c r="C30" s="4">
        <v>26</v>
      </c>
      <c r="D30" s="5">
        <v>45997</v>
      </c>
      <c r="E30" s="4" t="s">
        <v>74</v>
      </c>
      <c r="F30" s="4" t="s">
        <v>18</v>
      </c>
      <c r="G30" s="12">
        <v>20000</v>
      </c>
      <c r="H30" s="12">
        <f t="shared" si="0"/>
        <v>5439890</v>
      </c>
    </row>
    <row r="31" spans="3:8" ht="13.2" x14ac:dyDescent="0.25">
      <c r="C31" s="4">
        <v>27</v>
      </c>
      <c r="D31" s="5">
        <v>45997</v>
      </c>
      <c r="E31" s="4" t="s">
        <v>75</v>
      </c>
      <c r="F31" s="4" t="s">
        <v>60</v>
      </c>
      <c r="G31" s="12">
        <v>12000</v>
      </c>
      <c r="H31" s="12">
        <f t="shared" si="0"/>
        <v>5427890</v>
      </c>
    </row>
    <row r="32" spans="3:8" ht="13.2" x14ac:dyDescent="0.25">
      <c r="C32" s="4">
        <v>28</v>
      </c>
      <c r="D32" s="5">
        <v>45997</v>
      </c>
      <c r="E32" s="4" t="s">
        <v>76</v>
      </c>
      <c r="F32" s="4" t="s">
        <v>60</v>
      </c>
      <c r="G32" s="12">
        <v>10000</v>
      </c>
      <c r="H32" s="12">
        <f t="shared" si="0"/>
        <v>5417890</v>
      </c>
    </row>
    <row r="33" spans="3:8" ht="13.2" x14ac:dyDescent="0.25">
      <c r="C33" s="4">
        <v>29</v>
      </c>
      <c r="D33" s="5">
        <v>45997</v>
      </c>
      <c r="E33" s="4" t="s">
        <v>79</v>
      </c>
      <c r="F33" s="4" t="s">
        <v>22</v>
      </c>
      <c r="G33" s="12">
        <v>4000000</v>
      </c>
      <c r="H33" s="12">
        <f t="shared" si="0"/>
        <v>1417890</v>
      </c>
    </row>
    <row r="34" spans="3:8" ht="13.2" x14ac:dyDescent="0.25">
      <c r="C34" s="4">
        <v>30</v>
      </c>
      <c r="D34" s="5">
        <v>45997</v>
      </c>
      <c r="E34" s="4" t="s">
        <v>80</v>
      </c>
      <c r="F34" s="4"/>
      <c r="G34" s="12">
        <v>30000</v>
      </c>
      <c r="H34" s="12">
        <f t="shared" si="0"/>
        <v>1387890</v>
      </c>
    </row>
    <row r="35" spans="3:8" ht="13.2" x14ac:dyDescent="0.25">
      <c r="C35" s="4">
        <v>31</v>
      </c>
      <c r="D35" s="5">
        <v>45997</v>
      </c>
      <c r="E35" s="4" t="s">
        <v>83</v>
      </c>
      <c r="F35" s="4" t="s">
        <v>22</v>
      </c>
      <c r="G35" s="12">
        <v>25000</v>
      </c>
      <c r="H35" s="12">
        <f t="shared" si="0"/>
        <v>1362890</v>
      </c>
    </row>
    <row r="36" spans="3:8" ht="13.2" x14ac:dyDescent="0.25">
      <c r="C36" s="4">
        <v>33</v>
      </c>
      <c r="D36" s="5">
        <v>45997</v>
      </c>
      <c r="E36" s="4" t="s">
        <v>85</v>
      </c>
      <c r="F36" s="4" t="s">
        <v>18</v>
      </c>
      <c r="G36" s="12">
        <v>35000</v>
      </c>
      <c r="H36" s="12">
        <f t="shared" si="0"/>
        <v>1327890</v>
      </c>
    </row>
    <row r="37" spans="3:8" ht="13.2" x14ac:dyDescent="0.25">
      <c r="C37" s="4">
        <v>34</v>
      </c>
      <c r="D37" s="5">
        <v>45997</v>
      </c>
      <c r="E37" s="4" t="s">
        <v>88</v>
      </c>
      <c r="F37" s="4" t="s">
        <v>38</v>
      </c>
      <c r="G37" s="12">
        <v>6000</v>
      </c>
      <c r="H37" s="12">
        <f t="shared" si="0"/>
        <v>1321890</v>
      </c>
    </row>
    <row r="38" spans="3:8" ht="13.2" x14ac:dyDescent="0.25">
      <c r="C38" s="4">
        <v>35</v>
      </c>
      <c r="D38" s="5">
        <v>45988</v>
      </c>
      <c r="E38" s="4" t="s">
        <v>90</v>
      </c>
      <c r="F38" s="4" t="s">
        <v>14</v>
      </c>
      <c r="G38" s="12">
        <v>18000</v>
      </c>
      <c r="H38" s="12">
        <f t="shared" si="0"/>
        <v>1303890</v>
      </c>
    </row>
    <row r="39" spans="3:8" ht="26.4" x14ac:dyDescent="0.25">
      <c r="C39" s="24">
        <v>36</v>
      </c>
      <c r="D39" s="44">
        <v>45990</v>
      </c>
      <c r="E39" s="24" t="s">
        <v>93</v>
      </c>
      <c r="F39" s="24" t="s">
        <v>33</v>
      </c>
      <c r="G39" s="45">
        <v>26000</v>
      </c>
      <c r="H39" s="45">
        <f t="shared" si="0"/>
        <v>1277890</v>
      </c>
    </row>
    <row r="40" spans="3:8" ht="13.2" x14ac:dyDescent="0.25">
      <c r="C40" s="4">
        <v>37</v>
      </c>
      <c r="D40" s="5">
        <v>45997</v>
      </c>
      <c r="E40" s="4" t="s">
        <v>98</v>
      </c>
      <c r="F40" s="4" t="s">
        <v>33</v>
      </c>
      <c r="G40" s="12">
        <v>100000</v>
      </c>
      <c r="H40" s="12">
        <f t="shared" si="0"/>
        <v>1177890</v>
      </c>
    </row>
    <row r="41" spans="3:8" ht="13.2" x14ac:dyDescent="0.25">
      <c r="C41" s="4">
        <v>38</v>
      </c>
      <c r="D41" s="5">
        <v>45997</v>
      </c>
      <c r="E41" s="4" t="s">
        <v>99</v>
      </c>
      <c r="F41" s="4" t="s">
        <v>14</v>
      </c>
      <c r="G41" s="46">
        <v>120000</v>
      </c>
      <c r="H41" s="47">
        <f t="shared" si="0"/>
        <v>1057890</v>
      </c>
    </row>
    <row r="42" spans="3:8" ht="13.2" x14ac:dyDescent="0.25">
      <c r="C42" s="67" t="s">
        <v>102</v>
      </c>
      <c r="D42" s="65"/>
      <c r="E42" s="65"/>
      <c r="F42" s="65"/>
      <c r="G42" s="66"/>
      <c r="H42" s="47">
        <v>1057890</v>
      </c>
    </row>
  </sheetData>
  <mergeCells count="2">
    <mergeCell ref="C6:G6"/>
    <mergeCell ref="C42:G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J80"/>
  <sheetViews>
    <sheetView tabSelected="1" workbookViewId="0">
      <selection activeCell="H14" sqref="H14"/>
    </sheetView>
  </sheetViews>
  <sheetFormatPr defaultColWidth="12.6640625" defaultRowHeight="15.75" customHeight="1" x14ac:dyDescent="0.25"/>
  <cols>
    <col min="3" max="3" width="31" customWidth="1"/>
    <col min="4" max="4" width="25" customWidth="1"/>
    <col min="5" max="5" width="16" customWidth="1"/>
    <col min="6" max="6" width="15" customWidth="1"/>
    <col min="8" max="8" width="11.33203125" customWidth="1"/>
    <col min="9" max="9" width="22.33203125" customWidth="1"/>
    <col min="10" max="10" width="17.88671875" customWidth="1"/>
  </cols>
  <sheetData>
    <row r="2" spans="2:10" x14ac:dyDescent="0.25">
      <c r="B2" s="64" t="s">
        <v>0</v>
      </c>
      <c r="C2" s="79"/>
      <c r="D2" s="79"/>
      <c r="E2" s="79"/>
      <c r="F2" s="80"/>
      <c r="H2" s="3" t="s">
        <v>7</v>
      </c>
      <c r="I2" s="3" t="s">
        <v>4</v>
      </c>
      <c r="J2" s="3" t="s">
        <v>8</v>
      </c>
    </row>
    <row r="3" spans="2:10" x14ac:dyDescent="0.25">
      <c r="B3" s="6" t="s">
        <v>1</v>
      </c>
      <c r="C3" s="6" t="s">
        <v>10</v>
      </c>
      <c r="D3" s="6" t="s">
        <v>11</v>
      </c>
      <c r="E3" s="6" t="s">
        <v>12</v>
      </c>
      <c r="F3" s="6" t="s">
        <v>13</v>
      </c>
      <c r="H3" s="4">
        <v>1</v>
      </c>
      <c r="I3" s="4" t="s">
        <v>14</v>
      </c>
      <c r="J3" s="10">
        <v>172000</v>
      </c>
    </row>
    <row r="4" spans="2:10" x14ac:dyDescent="0.25">
      <c r="B4" s="67" t="s">
        <v>17</v>
      </c>
      <c r="C4" s="78"/>
      <c r="D4" s="78"/>
      <c r="E4" s="78"/>
      <c r="F4" s="77"/>
      <c r="H4" s="4">
        <v>2</v>
      </c>
      <c r="I4" s="4" t="s">
        <v>18</v>
      </c>
      <c r="J4" s="12">
        <v>372700</v>
      </c>
    </row>
    <row r="5" spans="2:10" x14ac:dyDescent="0.25">
      <c r="B5" s="4">
        <v>1</v>
      </c>
      <c r="C5" s="4" t="s">
        <v>19</v>
      </c>
      <c r="D5" s="4">
        <v>10</v>
      </c>
      <c r="E5" s="12">
        <v>5000</v>
      </c>
      <c r="F5" s="12">
        <f>SUM(D5*E5)</f>
        <v>50000</v>
      </c>
      <c r="H5" s="4">
        <v>3</v>
      </c>
      <c r="I5" s="4" t="s">
        <v>23</v>
      </c>
      <c r="J5" s="12">
        <v>332000</v>
      </c>
    </row>
    <row r="6" spans="2:10" x14ac:dyDescent="0.25">
      <c r="B6" s="4">
        <v>2</v>
      </c>
      <c r="C6" s="4" t="s">
        <v>24</v>
      </c>
      <c r="D6" s="4">
        <v>58</v>
      </c>
      <c r="E6" s="12">
        <v>30000</v>
      </c>
      <c r="F6" s="12">
        <f>E6*D6</f>
        <v>1740000</v>
      </c>
      <c r="H6" s="4">
        <v>4</v>
      </c>
      <c r="I6" s="4" t="s">
        <v>22</v>
      </c>
      <c r="J6" s="12">
        <v>9400000</v>
      </c>
    </row>
    <row r="7" spans="2:10" x14ac:dyDescent="0.25">
      <c r="B7" s="67" t="s">
        <v>30</v>
      </c>
      <c r="C7" s="78"/>
      <c r="D7" s="78"/>
      <c r="E7" s="78"/>
      <c r="F7" s="77"/>
      <c r="H7" s="4">
        <v>5</v>
      </c>
      <c r="I7" s="4" t="s">
        <v>33</v>
      </c>
      <c r="J7" s="12">
        <v>6654000</v>
      </c>
    </row>
    <row r="8" spans="2:10" x14ac:dyDescent="0.25">
      <c r="B8" s="4">
        <v>4</v>
      </c>
      <c r="C8" s="4" t="s">
        <v>24</v>
      </c>
      <c r="D8" s="4">
        <v>156</v>
      </c>
      <c r="E8" s="12">
        <v>30000</v>
      </c>
      <c r="F8" s="12">
        <f>E8*D8</f>
        <v>4680000</v>
      </c>
      <c r="H8" s="4">
        <v>6</v>
      </c>
      <c r="I8" s="4" t="s">
        <v>28</v>
      </c>
      <c r="J8" s="12">
        <v>8212000</v>
      </c>
    </row>
    <row r="9" spans="2:10" x14ac:dyDescent="0.25">
      <c r="B9" s="4"/>
      <c r="C9" s="4"/>
      <c r="D9" s="4"/>
      <c r="E9" s="4"/>
      <c r="F9" s="4"/>
      <c r="H9" s="4">
        <v>7</v>
      </c>
      <c r="I9" s="4" t="s">
        <v>32</v>
      </c>
      <c r="J9" s="12">
        <v>8000</v>
      </c>
    </row>
    <row r="10" spans="2:10" x14ac:dyDescent="0.25">
      <c r="B10" s="4"/>
      <c r="C10" s="4"/>
      <c r="D10" s="4"/>
      <c r="E10" s="4"/>
      <c r="F10" s="4"/>
      <c r="H10" s="4">
        <v>8</v>
      </c>
      <c r="I10" s="4" t="s">
        <v>38</v>
      </c>
      <c r="J10" s="12">
        <v>100000</v>
      </c>
    </row>
    <row r="11" spans="2:10" x14ac:dyDescent="0.25">
      <c r="B11" s="67" t="s">
        <v>36</v>
      </c>
      <c r="C11" s="78"/>
      <c r="D11" s="78"/>
      <c r="E11" s="78"/>
      <c r="F11" s="77"/>
      <c r="H11" s="4">
        <v>9</v>
      </c>
      <c r="I11" s="4" t="s">
        <v>41</v>
      </c>
      <c r="J11" s="12">
        <v>749300</v>
      </c>
    </row>
    <row r="12" spans="2:10" x14ac:dyDescent="0.25">
      <c r="B12" s="11">
        <v>5</v>
      </c>
      <c r="C12" s="11" t="s">
        <v>42</v>
      </c>
      <c r="D12" s="11">
        <v>10</v>
      </c>
      <c r="E12" s="27">
        <v>10000</v>
      </c>
      <c r="F12" s="12">
        <f>SUM(D12*E12)</f>
        <v>100000</v>
      </c>
      <c r="H12" s="67" t="s">
        <v>48</v>
      </c>
      <c r="I12" s="77"/>
      <c r="J12" s="10">
        <f>SUM(J3:J11)</f>
        <v>26000000</v>
      </c>
    </row>
    <row r="13" spans="2:10" x14ac:dyDescent="0.25">
      <c r="B13" s="11">
        <v>6</v>
      </c>
      <c r="C13" s="11" t="s">
        <v>52</v>
      </c>
      <c r="D13" s="11">
        <v>10</v>
      </c>
      <c r="E13" s="27">
        <v>4000</v>
      </c>
      <c r="F13" s="12">
        <f>SUM(D13*E13)</f>
        <v>40000</v>
      </c>
    </row>
    <row r="14" spans="2:10" x14ac:dyDescent="0.25">
      <c r="B14" s="67" t="s">
        <v>62</v>
      </c>
      <c r="C14" s="78"/>
      <c r="D14" s="78"/>
      <c r="E14" s="78"/>
      <c r="F14" s="77"/>
    </row>
    <row r="15" spans="2:10" x14ac:dyDescent="0.25">
      <c r="B15" s="11">
        <v>7</v>
      </c>
      <c r="C15" s="11" t="s">
        <v>64</v>
      </c>
      <c r="D15" s="11">
        <v>2</v>
      </c>
      <c r="E15" s="32">
        <v>12000</v>
      </c>
      <c r="F15" s="12">
        <v>24000</v>
      </c>
    </row>
    <row r="16" spans="2:10" x14ac:dyDescent="0.25">
      <c r="B16" s="11">
        <v>8</v>
      </c>
      <c r="C16" s="34" t="s">
        <v>68</v>
      </c>
      <c r="D16" s="34" t="s">
        <v>70</v>
      </c>
      <c r="E16" s="36">
        <v>2000</v>
      </c>
      <c r="F16" s="36">
        <v>20000</v>
      </c>
    </row>
    <row r="17" spans="2:6" x14ac:dyDescent="0.25">
      <c r="B17" s="67" t="s">
        <v>16</v>
      </c>
      <c r="C17" s="78"/>
      <c r="D17" s="78"/>
      <c r="E17" s="77"/>
      <c r="F17" s="12">
        <f>SUM(F4:F16)</f>
        <v>6654000</v>
      </c>
    </row>
    <row r="18" spans="2:6" x14ac:dyDescent="0.25">
      <c r="B18" s="64" t="s">
        <v>78</v>
      </c>
      <c r="C18" s="79"/>
      <c r="D18" s="79"/>
      <c r="E18" s="79"/>
      <c r="F18" s="80"/>
    </row>
    <row r="19" spans="2:6" x14ac:dyDescent="0.25">
      <c r="B19" s="6" t="s">
        <v>1</v>
      </c>
      <c r="C19" s="6" t="s">
        <v>10</v>
      </c>
      <c r="D19" s="6" t="s">
        <v>11</v>
      </c>
      <c r="E19" s="6" t="s">
        <v>12</v>
      </c>
      <c r="F19" s="6" t="s">
        <v>13</v>
      </c>
    </row>
    <row r="20" spans="2:6" x14ac:dyDescent="0.25">
      <c r="B20" s="4">
        <v>1</v>
      </c>
      <c r="C20" s="4" t="s">
        <v>82</v>
      </c>
      <c r="D20" s="4">
        <v>156</v>
      </c>
      <c r="E20" s="12">
        <v>50000</v>
      </c>
      <c r="F20" s="12">
        <f t="shared" ref="F20:F21" si="0">D20*E20</f>
        <v>7800000</v>
      </c>
    </row>
    <row r="21" spans="2:6" x14ac:dyDescent="0.25">
      <c r="B21" s="4">
        <v>2</v>
      </c>
      <c r="C21" s="4" t="s">
        <v>86</v>
      </c>
      <c r="D21" s="4">
        <v>18</v>
      </c>
      <c r="E21" s="12">
        <v>14000</v>
      </c>
      <c r="F21" s="12">
        <f t="shared" si="0"/>
        <v>252000</v>
      </c>
    </row>
    <row r="22" spans="2:6" x14ac:dyDescent="0.25">
      <c r="B22" s="34">
        <v>3</v>
      </c>
      <c r="C22" s="34" t="s">
        <v>89</v>
      </c>
      <c r="D22" s="34">
        <v>1</v>
      </c>
      <c r="E22" s="43">
        <v>100000</v>
      </c>
      <c r="F22" s="43">
        <v>100000</v>
      </c>
    </row>
    <row r="23" spans="2:6" x14ac:dyDescent="0.25">
      <c r="B23" s="34">
        <v>4</v>
      </c>
      <c r="C23" s="34" t="s">
        <v>64</v>
      </c>
      <c r="D23" s="34">
        <v>1</v>
      </c>
      <c r="E23" s="36">
        <v>12000</v>
      </c>
      <c r="F23" s="36">
        <v>12000</v>
      </c>
    </row>
    <row r="24" spans="2:6" x14ac:dyDescent="0.25">
      <c r="B24" s="34">
        <v>5</v>
      </c>
      <c r="C24" s="34" t="s">
        <v>92</v>
      </c>
      <c r="D24" s="34">
        <v>3</v>
      </c>
      <c r="E24" s="36"/>
      <c r="F24" s="36">
        <v>8000</v>
      </c>
    </row>
    <row r="25" spans="2:6" x14ac:dyDescent="0.25">
      <c r="B25" s="34">
        <v>6</v>
      </c>
      <c r="C25" s="34" t="s">
        <v>95</v>
      </c>
      <c r="D25" s="34">
        <v>3</v>
      </c>
      <c r="E25" s="36">
        <v>25000</v>
      </c>
      <c r="F25" s="36">
        <v>25000</v>
      </c>
    </row>
    <row r="26" spans="2:6" x14ac:dyDescent="0.25">
      <c r="B26" s="34">
        <v>7</v>
      </c>
      <c r="C26" s="34" t="s">
        <v>96</v>
      </c>
      <c r="D26" s="34">
        <v>3</v>
      </c>
      <c r="E26" s="36">
        <v>5000</v>
      </c>
      <c r="F26" s="36">
        <v>15000</v>
      </c>
    </row>
    <row r="27" spans="2:6" x14ac:dyDescent="0.25">
      <c r="B27" s="72" t="s">
        <v>16</v>
      </c>
      <c r="C27" s="85"/>
      <c r="D27" s="85"/>
      <c r="E27" s="86"/>
      <c r="F27" s="48">
        <f>F20+F21+F22+F23+F24+F25+F26</f>
        <v>8212000</v>
      </c>
    </row>
    <row r="28" spans="2:6" x14ac:dyDescent="0.25">
      <c r="B28" s="64" t="s">
        <v>104</v>
      </c>
      <c r="C28" s="79"/>
      <c r="D28" s="79"/>
      <c r="E28" s="79"/>
      <c r="F28" s="80"/>
    </row>
    <row r="29" spans="2:6" x14ac:dyDescent="0.25">
      <c r="B29" s="6" t="s">
        <v>1</v>
      </c>
      <c r="C29" s="6" t="s">
        <v>10</v>
      </c>
      <c r="D29" s="6" t="s">
        <v>11</v>
      </c>
      <c r="E29" s="6" t="s">
        <v>12</v>
      </c>
      <c r="F29" s="6" t="s">
        <v>13</v>
      </c>
    </row>
    <row r="30" spans="2:6" x14ac:dyDescent="0.25">
      <c r="B30" s="4">
        <v>1</v>
      </c>
      <c r="C30" s="4" t="s">
        <v>106</v>
      </c>
      <c r="D30" s="4">
        <v>1</v>
      </c>
      <c r="E30" s="12">
        <v>300000</v>
      </c>
      <c r="F30" s="12">
        <v>300000</v>
      </c>
    </row>
    <row r="31" spans="2:6" x14ac:dyDescent="0.25">
      <c r="B31" s="4">
        <v>2</v>
      </c>
      <c r="C31" s="4" t="s">
        <v>108</v>
      </c>
      <c r="D31" s="4">
        <v>2</v>
      </c>
      <c r="E31" s="12">
        <v>10000</v>
      </c>
      <c r="F31" s="12">
        <v>20000</v>
      </c>
    </row>
    <row r="32" spans="2:6" x14ac:dyDescent="0.25">
      <c r="B32" s="34">
        <v>3</v>
      </c>
      <c r="C32" s="34" t="s">
        <v>109</v>
      </c>
      <c r="D32" s="34">
        <v>1</v>
      </c>
      <c r="E32" s="12">
        <v>12000</v>
      </c>
      <c r="F32" s="12">
        <v>12000</v>
      </c>
    </row>
    <row r="33" spans="2:6" x14ac:dyDescent="0.25">
      <c r="B33" s="72" t="s">
        <v>110</v>
      </c>
      <c r="C33" s="85"/>
      <c r="D33" s="85"/>
      <c r="E33" s="86"/>
      <c r="F33" s="48">
        <f>SUM(F30:F32)</f>
        <v>332000</v>
      </c>
    </row>
    <row r="34" spans="2:6" x14ac:dyDescent="0.25">
      <c r="B34" s="64" t="s">
        <v>114</v>
      </c>
      <c r="C34" s="79"/>
      <c r="D34" s="79"/>
      <c r="E34" s="79"/>
      <c r="F34" s="80"/>
    </row>
    <row r="35" spans="2:6" x14ac:dyDescent="0.25">
      <c r="B35" s="6" t="s">
        <v>1</v>
      </c>
      <c r="C35" s="6" t="s">
        <v>10</v>
      </c>
      <c r="D35" s="6" t="s">
        <v>11</v>
      </c>
      <c r="E35" s="6" t="s">
        <v>12</v>
      </c>
      <c r="F35" s="6" t="s">
        <v>13</v>
      </c>
    </row>
    <row r="36" spans="2:6" x14ac:dyDescent="0.25">
      <c r="B36" s="4">
        <v>1</v>
      </c>
      <c r="C36" s="7" t="s">
        <v>116</v>
      </c>
      <c r="D36" s="4" t="s">
        <v>118</v>
      </c>
      <c r="E36" s="12">
        <v>3800000</v>
      </c>
      <c r="F36" s="12">
        <v>3800000</v>
      </c>
    </row>
    <row r="37" spans="2:6" x14ac:dyDescent="0.25">
      <c r="B37" s="4">
        <v>2</v>
      </c>
      <c r="C37" s="7" t="s">
        <v>119</v>
      </c>
      <c r="D37" s="4" t="s">
        <v>120</v>
      </c>
      <c r="E37" s="12">
        <v>350000</v>
      </c>
      <c r="F37" s="12">
        <v>5600000</v>
      </c>
    </row>
    <row r="38" spans="2:6" x14ac:dyDescent="0.25">
      <c r="B38" s="72" t="s">
        <v>16</v>
      </c>
      <c r="C38" s="85"/>
      <c r="D38" s="85"/>
      <c r="E38" s="86"/>
      <c r="F38" s="48">
        <f>SUM(F36:F37)</f>
        <v>9400000</v>
      </c>
    </row>
    <row r="39" spans="2:6" x14ac:dyDescent="0.25">
      <c r="B39" s="64" t="s">
        <v>123</v>
      </c>
      <c r="C39" s="79"/>
      <c r="D39" s="79"/>
      <c r="E39" s="79"/>
      <c r="F39" s="80"/>
    </row>
    <row r="40" spans="2:6" x14ac:dyDescent="0.25">
      <c r="B40" s="6" t="s">
        <v>1</v>
      </c>
      <c r="C40" s="6" t="s">
        <v>10</v>
      </c>
      <c r="D40" s="6" t="s">
        <v>11</v>
      </c>
      <c r="E40" s="6" t="s">
        <v>12</v>
      </c>
      <c r="F40" s="6" t="s">
        <v>13</v>
      </c>
    </row>
    <row r="41" spans="2:6" x14ac:dyDescent="0.25">
      <c r="B41" s="20">
        <v>1</v>
      </c>
      <c r="C41" s="24" t="s">
        <v>126</v>
      </c>
      <c r="D41" s="20" t="s">
        <v>127</v>
      </c>
      <c r="E41" s="49">
        <v>500</v>
      </c>
      <c r="F41" s="49">
        <f>500*24</f>
        <v>12000</v>
      </c>
    </row>
    <row r="42" spans="2:6" x14ac:dyDescent="0.25">
      <c r="B42" s="4">
        <v>2</v>
      </c>
      <c r="C42" s="4" t="s">
        <v>130</v>
      </c>
      <c r="D42" s="4" t="s">
        <v>132</v>
      </c>
      <c r="E42" s="46">
        <v>60000</v>
      </c>
      <c r="F42" s="46">
        <f>E42*2</f>
        <v>120000</v>
      </c>
    </row>
    <row r="43" spans="2:6" x14ac:dyDescent="0.25">
      <c r="B43" s="4">
        <v>3</v>
      </c>
      <c r="C43" s="4" t="s">
        <v>135</v>
      </c>
      <c r="D43" s="4" t="s">
        <v>136</v>
      </c>
      <c r="E43" s="46">
        <v>10000</v>
      </c>
      <c r="F43" s="46">
        <v>20000</v>
      </c>
    </row>
    <row r="44" spans="2:6" x14ac:dyDescent="0.25">
      <c r="B44" s="4">
        <v>4</v>
      </c>
      <c r="C44" s="4" t="s">
        <v>138</v>
      </c>
      <c r="D44" s="4" t="s">
        <v>139</v>
      </c>
      <c r="E44" s="46">
        <v>20000</v>
      </c>
      <c r="F44" s="46">
        <v>20000</v>
      </c>
    </row>
    <row r="45" spans="2:6" x14ac:dyDescent="0.25">
      <c r="B45" s="4"/>
      <c r="C45" s="67" t="s">
        <v>16</v>
      </c>
      <c r="D45" s="78"/>
      <c r="E45" s="77"/>
      <c r="F45" s="46">
        <f>SUM(F41:F44)</f>
        <v>172000</v>
      </c>
    </row>
    <row r="46" spans="2:6" x14ac:dyDescent="0.25">
      <c r="B46" s="68" t="s">
        <v>144</v>
      </c>
      <c r="C46" s="83"/>
      <c r="D46" s="83"/>
      <c r="E46" s="83"/>
      <c r="F46" s="84"/>
    </row>
    <row r="47" spans="2:6" x14ac:dyDescent="0.25">
      <c r="B47" s="50" t="s">
        <v>51</v>
      </c>
      <c r="C47" s="50" t="s">
        <v>149</v>
      </c>
      <c r="D47" s="50" t="s">
        <v>150</v>
      </c>
      <c r="E47" s="50" t="s">
        <v>151</v>
      </c>
      <c r="F47" s="50" t="s">
        <v>11</v>
      </c>
    </row>
    <row r="48" spans="2:6" x14ac:dyDescent="0.25">
      <c r="B48" s="20">
        <v>1</v>
      </c>
      <c r="C48" s="20" t="s">
        <v>153</v>
      </c>
      <c r="D48" s="20">
        <v>2</v>
      </c>
      <c r="E48" s="25">
        <v>10000</v>
      </c>
      <c r="F48" s="51">
        <f t="shared" ref="F48:F56" si="1">E48*D48</f>
        <v>20000</v>
      </c>
    </row>
    <row r="49" spans="2:6" x14ac:dyDescent="0.25">
      <c r="B49" s="20">
        <v>2</v>
      </c>
      <c r="C49" s="24" t="s">
        <v>158</v>
      </c>
      <c r="D49" s="20">
        <v>1</v>
      </c>
      <c r="E49" s="25">
        <v>15000</v>
      </c>
      <c r="F49" s="51">
        <f t="shared" si="1"/>
        <v>15000</v>
      </c>
    </row>
    <row r="50" spans="2:6" x14ac:dyDescent="0.25">
      <c r="B50" s="52">
        <v>3</v>
      </c>
      <c r="C50" s="52" t="s">
        <v>161</v>
      </c>
      <c r="D50" s="52">
        <v>2</v>
      </c>
      <c r="E50" s="53">
        <v>24000</v>
      </c>
      <c r="F50" s="54">
        <f t="shared" si="1"/>
        <v>48000</v>
      </c>
    </row>
    <row r="51" spans="2:6" x14ac:dyDescent="0.25">
      <c r="B51" s="20">
        <v>4</v>
      </c>
      <c r="C51" s="52" t="s">
        <v>164</v>
      </c>
      <c r="D51" s="52">
        <v>1</v>
      </c>
      <c r="E51" s="53">
        <v>7000</v>
      </c>
      <c r="F51" s="54">
        <f t="shared" si="1"/>
        <v>7000</v>
      </c>
    </row>
    <row r="52" spans="2:6" x14ac:dyDescent="0.25">
      <c r="B52" s="20">
        <v>5</v>
      </c>
      <c r="C52" s="52" t="s">
        <v>166</v>
      </c>
      <c r="D52" s="52">
        <v>2</v>
      </c>
      <c r="E52" s="53">
        <v>7000</v>
      </c>
      <c r="F52" s="54">
        <f t="shared" si="1"/>
        <v>14000</v>
      </c>
    </row>
    <row r="53" spans="2:6" x14ac:dyDescent="0.25">
      <c r="B53" s="52">
        <v>6</v>
      </c>
      <c r="C53" s="52" t="s">
        <v>168</v>
      </c>
      <c r="D53" s="52">
        <v>10</v>
      </c>
      <c r="E53" s="53">
        <v>1000</v>
      </c>
      <c r="F53" s="54">
        <f t="shared" si="1"/>
        <v>10000</v>
      </c>
    </row>
    <row r="54" spans="2:6" x14ac:dyDescent="0.25">
      <c r="B54" s="20">
        <v>7</v>
      </c>
      <c r="C54" s="52" t="s">
        <v>170</v>
      </c>
      <c r="D54" s="52">
        <v>1</v>
      </c>
      <c r="E54" s="53">
        <v>5000</v>
      </c>
      <c r="F54" s="54">
        <f t="shared" si="1"/>
        <v>5000</v>
      </c>
    </row>
    <row r="55" spans="2:6" x14ac:dyDescent="0.25">
      <c r="B55" s="20">
        <v>8</v>
      </c>
      <c r="C55" s="52" t="s">
        <v>172</v>
      </c>
      <c r="D55" s="52">
        <v>1</v>
      </c>
      <c r="E55" s="53">
        <v>5000</v>
      </c>
      <c r="F55" s="54">
        <f t="shared" si="1"/>
        <v>5000</v>
      </c>
    </row>
    <row r="56" spans="2:6" x14ac:dyDescent="0.25">
      <c r="B56" s="20">
        <v>9</v>
      </c>
      <c r="C56" s="52" t="s">
        <v>174</v>
      </c>
      <c r="D56" s="52">
        <v>1</v>
      </c>
      <c r="E56" s="53">
        <v>7000</v>
      </c>
      <c r="F56" s="54">
        <f t="shared" si="1"/>
        <v>7000</v>
      </c>
    </row>
    <row r="57" spans="2:6" x14ac:dyDescent="0.25">
      <c r="B57" s="20">
        <v>10</v>
      </c>
      <c r="C57" s="52" t="s">
        <v>176</v>
      </c>
      <c r="D57" s="52" t="s">
        <v>177</v>
      </c>
      <c r="E57" s="53">
        <v>12000</v>
      </c>
      <c r="F57" s="54">
        <v>12000</v>
      </c>
    </row>
    <row r="58" spans="2:6" x14ac:dyDescent="0.25">
      <c r="B58" s="52">
        <v>11</v>
      </c>
      <c r="C58" s="20" t="s">
        <v>178</v>
      </c>
      <c r="D58" s="20">
        <v>3</v>
      </c>
      <c r="E58" s="25">
        <v>5000</v>
      </c>
      <c r="F58" s="51">
        <f>E58*D58</f>
        <v>15000</v>
      </c>
    </row>
    <row r="59" spans="2:6" x14ac:dyDescent="0.25">
      <c r="B59" s="20">
        <v>12</v>
      </c>
      <c r="C59" s="20" t="s">
        <v>182</v>
      </c>
      <c r="D59" s="24">
        <v>3</v>
      </c>
      <c r="E59" s="25">
        <v>9000</v>
      </c>
      <c r="F59" s="51">
        <v>23500</v>
      </c>
    </row>
    <row r="60" spans="2:6" x14ac:dyDescent="0.25">
      <c r="B60" s="20">
        <v>13</v>
      </c>
      <c r="C60" s="20" t="s">
        <v>184</v>
      </c>
      <c r="D60" s="20">
        <v>3</v>
      </c>
      <c r="E60" s="25">
        <v>5000</v>
      </c>
      <c r="F60" s="51">
        <f>E60*D60</f>
        <v>15000</v>
      </c>
    </row>
    <row r="61" spans="2:6" x14ac:dyDescent="0.25">
      <c r="B61" s="52">
        <v>14</v>
      </c>
      <c r="C61" s="20" t="s">
        <v>185</v>
      </c>
      <c r="D61" s="20" t="s">
        <v>186</v>
      </c>
      <c r="E61" s="25">
        <v>25000</v>
      </c>
      <c r="F61" s="51">
        <f>E61</f>
        <v>25000</v>
      </c>
    </row>
    <row r="62" spans="2:6" x14ac:dyDescent="0.25">
      <c r="B62" s="20">
        <v>15</v>
      </c>
      <c r="C62" s="20" t="s">
        <v>188</v>
      </c>
      <c r="D62" s="20">
        <v>1</v>
      </c>
      <c r="E62" s="25">
        <v>20000</v>
      </c>
      <c r="F62" s="51">
        <f>E62*D62</f>
        <v>20000</v>
      </c>
    </row>
    <row r="63" spans="2:6" x14ac:dyDescent="0.25">
      <c r="B63" s="20">
        <v>16</v>
      </c>
      <c r="C63" s="20" t="s">
        <v>191</v>
      </c>
      <c r="D63" s="20">
        <v>2</v>
      </c>
      <c r="E63" s="25">
        <v>2400</v>
      </c>
      <c r="F63" s="51">
        <v>4800</v>
      </c>
    </row>
    <row r="64" spans="2:6" x14ac:dyDescent="0.25">
      <c r="B64" s="20">
        <v>17</v>
      </c>
      <c r="C64" s="20" t="s">
        <v>192</v>
      </c>
      <c r="D64" s="20">
        <v>2</v>
      </c>
      <c r="E64" s="25">
        <v>12200</v>
      </c>
      <c r="F64" s="51">
        <v>24400</v>
      </c>
    </row>
    <row r="65" spans="2:6" x14ac:dyDescent="0.25">
      <c r="B65" s="20">
        <v>18</v>
      </c>
      <c r="C65" s="20" t="s">
        <v>194</v>
      </c>
      <c r="D65" s="20">
        <v>1</v>
      </c>
      <c r="E65" s="25">
        <v>9000</v>
      </c>
      <c r="F65" s="51">
        <f>E65*D65</f>
        <v>9000</v>
      </c>
    </row>
    <row r="66" spans="2:6" x14ac:dyDescent="0.25">
      <c r="B66" s="52">
        <v>19</v>
      </c>
      <c r="C66" s="20" t="s">
        <v>196</v>
      </c>
      <c r="D66" s="20" t="s">
        <v>197</v>
      </c>
      <c r="E66" s="25">
        <v>12000</v>
      </c>
      <c r="F66" s="51">
        <f>E66*1</f>
        <v>12000</v>
      </c>
    </row>
    <row r="67" spans="2:6" x14ac:dyDescent="0.25">
      <c r="B67" s="20">
        <v>20</v>
      </c>
      <c r="C67" s="20" t="s">
        <v>200</v>
      </c>
      <c r="D67" s="20">
        <v>1</v>
      </c>
      <c r="E67" s="25">
        <v>29000</v>
      </c>
      <c r="F67" s="51">
        <f t="shared" ref="F67:F68" si="2">E67*D67</f>
        <v>29000</v>
      </c>
    </row>
    <row r="68" spans="2:6" x14ac:dyDescent="0.25">
      <c r="B68" s="20">
        <v>21</v>
      </c>
      <c r="C68" s="20" t="s">
        <v>202</v>
      </c>
      <c r="D68" s="20">
        <v>1</v>
      </c>
      <c r="E68" s="25">
        <v>52000</v>
      </c>
      <c r="F68" s="51">
        <f t="shared" si="2"/>
        <v>52000</v>
      </c>
    </row>
    <row r="69" spans="2:6" x14ac:dyDescent="0.25">
      <c r="B69" s="69" t="s">
        <v>16</v>
      </c>
      <c r="C69" s="81"/>
      <c r="D69" s="81"/>
      <c r="E69" s="82"/>
      <c r="F69" s="51">
        <f>SUM(F48:F68)</f>
        <v>372700</v>
      </c>
    </row>
    <row r="70" spans="2:6" x14ac:dyDescent="0.25">
      <c r="B70" s="70" t="s">
        <v>38</v>
      </c>
      <c r="C70" s="89"/>
      <c r="D70" s="89"/>
      <c r="E70" s="89"/>
      <c r="F70" s="90"/>
    </row>
    <row r="71" spans="2:6" x14ac:dyDescent="0.25">
      <c r="B71" s="6" t="s">
        <v>1</v>
      </c>
      <c r="C71" s="6" t="s">
        <v>10</v>
      </c>
      <c r="D71" s="6" t="s">
        <v>11</v>
      </c>
      <c r="E71" s="6" t="s">
        <v>12</v>
      </c>
      <c r="F71" s="6" t="s">
        <v>13</v>
      </c>
    </row>
    <row r="72" spans="2:6" x14ac:dyDescent="0.25">
      <c r="B72" s="4">
        <v>1</v>
      </c>
      <c r="C72" s="7" t="s">
        <v>209</v>
      </c>
      <c r="D72" s="4">
        <v>1</v>
      </c>
      <c r="E72" s="12">
        <v>25000</v>
      </c>
      <c r="F72" s="12">
        <v>25000</v>
      </c>
    </row>
    <row r="73" spans="2:6" x14ac:dyDescent="0.25">
      <c r="B73" s="4">
        <v>2</v>
      </c>
      <c r="C73" s="7" t="s">
        <v>210</v>
      </c>
      <c r="D73" s="4">
        <v>1</v>
      </c>
      <c r="E73" s="12">
        <v>50000</v>
      </c>
      <c r="F73" s="12">
        <v>50000</v>
      </c>
    </row>
    <row r="74" spans="2:6" x14ac:dyDescent="0.25">
      <c r="B74" s="34">
        <v>3</v>
      </c>
      <c r="C74" s="58" t="s">
        <v>212</v>
      </c>
      <c r="D74" s="34" t="s">
        <v>213</v>
      </c>
      <c r="E74" s="12">
        <v>1000</v>
      </c>
      <c r="F74" s="12">
        <v>25000</v>
      </c>
    </row>
    <row r="75" spans="2:6" x14ac:dyDescent="0.25">
      <c r="B75" s="71" t="s">
        <v>16</v>
      </c>
      <c r="C75" s="87"/>
      <c r="D75" s="87"/>
      <c r="E75" s="88"/>
      <c r="F75" s="59">
        <f>SUM(F72:F74)</f>
        <v>100000</v>
      </c>
    </row>
    <row r="76" spans="2:6" x14ac:dyDescent="0.25">
      <c r="B76" s="70" t="s">
        <v>32</v>
      </c>
      <c r="C76" s="89"/>
      <c r="D76" s="89"/>
      <c r="E76" s="89"/>
      <c r="F76" s="90"/>
    </row>
    <row r="77" spans="2:6" x14ac:dyDescent="0.25">
      <c r="B77" s="6" t="s">
        <v>1</v>
      </c>
      <c r="C77" s="6" t="s">
        <v>10</v>
      </c>
      <c r="D77" s="6" t="s">
        <v>11</v>
      </c>
      <c r="E77" s="6" t="s">
        <v>12</v>
      </c>
      <c r="F77" s="6" t="s">
        <v>13</v>
      </c>
    </row>
    <row r="78" spans="2:6" x14ac:dyDescent="0.25">
      <c r="B78" s="4">
        <v>1</v>
      </c>
      <c r="C78" s="7" t="s">
        <v>220</v>
      </c>
      <c r="D78" s="4">
        <v>1</v>
      </c>
      <c r="E78" s="12">
        <v>4000</v>
      </c>
      <c r="F78" s="12">
        <v>4000</v>
      </c>
    </row>
    <row r="79" spans="2:6" x14ac:dyDescent="0.25">
      <c r="B79" s="4">
        <v>2</v>
      </c>
      <c r="C79" s="7" t="s">
        <v>222</v>
      </c>
      <c r="D79" s="4">
        <v>1</v>
      </c>
      <c r="E79" s="12">
        <v>4000</v>
      </c>
      <c r="F79" s="12">
        <v>4000</v>
      </c>
    </row>
    <row r="80" spans="2:6" x14ac:dyDescent="0.25">
      <c r="B80" s="71" t="s">
        <v>16</v>
      </c>
      <c r="C80" s="87"/>
      <c r="D80" s="87"/>
      <c r="E80" s="88"/>
      <c r="F80" s="59">
        <f>SUM(F78:F79)</f>
        <v>8000</v>
      </c>
    </row>
  </sheetData>
  <mergeCells count="21">
    <mergeCell ref="B70:F70"/>
    <mergeCell ref="B75:E75"/>
    <mergeCell ref="B76:F76"/>
    <mergeCell ref="B80:E80"/>
    <mergeCell ref="B17:E17"/>
    <mergeCell ref="B27:E27"/>
    <mergeCell ref="B28:F28"/>
    <mergeCell ref="B33:E33"/>
    <mergeCell ref="B34:F34"/>
    <mergeCell ref="B38:E38"/>
    <mergeCell ref="B39:F39"/>
    <mergeCell ref="B14:F14"/>
    <mergeCell ref="B18:F18"/>
    <mergeCell ref="C45:E45"/>
    <mergeCell ref="B46:F46"/>
    <mergeCell ref="B69:E69"/>
    <mergeCell ref="B2:F2"/>
    <mergeCell ref="B4:F4"/>
    <mergeCell ref="B7:F7"/>
    <mergeCell ref="B11:F11"/>
    <mergeCell ref="H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RAB</vt:lpstr>
      <vt:lpstr>PEMASUKAN</vt:lpstr>
      <vt:lpstr>PENGELUARAN</vt:lpstr>
      <vt:lpstr>RAB AKTUAL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DIMAS PANCA PAMUNGKAS</cp:lastModifiedBy>
  <dcterms:modified xsi:type="dcterms:W3CDTF">2026-09-01T11:08:29Z</dcterms:modified>
</cp:coreProperties>
</file>